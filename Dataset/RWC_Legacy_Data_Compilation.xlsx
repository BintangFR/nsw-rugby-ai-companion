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mpact Analysis" sheetId="2" state="visible" r:id="rId4"/>
    <sheet name="Benchmark" sheetId="3" state="visible" r:id="rId5"/>
    <sheet name="Legacy Grants R1 2025-26" sheetId="4" state="visible" r:id="rId6"/>
    <sheet name="Dashboard (all rows)" sheetId="5" state="visible" r:id="rId7"/>
    <sheet name="MO &amp; Volunteer budgets" sheetId="6" state="visible" r:id="rId8"/>
    <sheet name="Program Logic" sheetId="7" state="visible" r:id="rId9"/>
    <sheet name="Targets &amp; Baselines" sheetId="8" state="visible" r:id="rId10"/>
    <sheet name="Annual Report 2025" sheetId="9" state="visible" r:id="rId11"/>
    <sheet name="Strategic Plan" sheetId="10" state="visible" r:id="rId12"/>
    <sheet name="Evaluation Guidance" sheetId="11" state="visible" r:id="rId13"/>
    <sheet name="Gaps &amp; Issues" sheetId="12" state="visible" r:id="rId14"/>
  </sheets>
  <definedNames>
    <definedName function="false" hidden="true" localSheetId="8" name="_xlnm._FilterDatabase" vbProcedure="false">'Annual Report 2025'!$A$2:$E$48</definedName>
    <definedName function="false" hidden="true" localSheetId="4" name="_xlnm._FilterDatabase" vbProcedure="false">'Dashboard (all rows)'!$A$2:$N$27</definedName>
    <definedName function="false" hidden="true" localSheetId="10" name="_xlnm._FilterDatabase" vbProcedure="false">'Evaluation Guidance'!$A$2:$E$16</definedName>
    <definedName function="false" hidden="true" localSheetId="11" name="_xlnm._FilterDatabase" vbProcedure="false">'Gaps &amp; Issues'!$A$2:$C$17</definedName>
    <definedName function="false" hidden="true" localSheetId="3" name="_xlnm._FilterDatabase" vbProcedure="false">'Legacy Grants R1 2025-26'!$A$2:$I$40</definedName>
    <definedName function="false" hidden="true" localSheetId="5" name="_xlnm._FilterDatabase" vbProcedure="false">'MO &amp; Volunteer budgets'!$A$2:$I$7</definedName>
    <definedName function="false" hidden="true" localSheetId="6" name="_xlnm._FilterDatabase" vbProcedure="false">'Program Logic'!$A$2:$J$14</definedName>
    <definedName function="false" hidden="true" localSheetId="9" name="_xlnm._FilterDatabase" vbProcedure="false">'Strategic Plan'!$A$2:$C$20</definedName>
    <definedName function="false" hidden="true" localSheetId="7" name="_xlnm._FilterDatabase" vbProcedure="false">'Targets &amp; Baselines'!$A$2:$F$49</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Pillar per "Project Plan - NSW RWC Legacy Plan - UNSW.docx"</t>
        </r>
      </text>
    </comment>
  </commentList>
</comments>
</file>

<file path=xl/sharedStrings.xml><?xml version="1.0" encoding="utf-8"?>
<sst xmlns="http://schemas.openxmlformats.org/spreadsheetml/2006/main" count="1711" uniqueCount="1166">
  <si>
    <t xml:space="preserve">NSW RWC Legacy Program - data compiled from all project files</t>
  </si>
  <si>
    <t xml:space="preserve">Compiled 24 Sep 2026. Highlighting: Facilities &amp; Equipment and Programs &amp; Workforce.</t>
  </si>
  <si>
    <t xml:space="preserve">Legend</t>
  </si>
  <si>
    <t xml:space="preserve">F&amp;E</t>
  </si>
  <si>
    <t xml:space="preserve">Facilities &amp; Equipment (Pillar 1) data</t>
  </si>
  <si>
    <t xml:space="preserve">P&amp;W</t>
  </si>
  <si>
    <t xml:space="preserve">Programs &amp; Workforce (Pillar 3) data</t>
  </si>
  <si>
    <t xml:space="preserve">Both</t>
  </si>
  <si>
    <t xml:space="preserve">Programs &amp; Workforce item that also involves equipment/facilities</t>
  </si>
  <si>
    <t xml:space="preserve">INC</t>
  </si>
  <si>
    <t xml:space="preserve">Inclusion (Pillar 4) data - women &amp; girls, First Nations, Pasifika, All Abilities, Pride, safeguarding</t>
  </si>
  <si>
    <t xml:space="preserve">Related</t>
  </si>
  <si>
    <t xml:space="preserve">Sits in another pillar but has a facilities, equipment or workforce component</t>
  </si>
  <si>
    <t xml:space="preserve">Key figures</t>
  </si>
  <si>
    <t xml:space="preserve">Dashboard 3-year budget, all rows ($)</t>
  </si>
  <si>
    <t xml:space="preserve">Sum of year 1-3 budgets on the Dashboard sheet</t>
  </si>
  <si>
    <t xml:space="preserve">Dashboard 3-year budget, Programs &amp; Workforce ($)</t>
  </si>
  <si>
    <t xml:space="preserve">MO Manager + Workforce Recruitment &amp; Development + Workforce Leadership</t>
  </si>
  <si>
    <t xml:space="preserve">Dashboard 3-year budget, Facilities &amp; Equipment ($)</t>
  </si>
  <si>
    <t xml:space="preserve">No F&amp;E lines on the dashboard</t>
  </si>
  <si>
    <t xml:space="preserve">Referee department identified spend ($)</t>
  </si>
  <si>
    <t xml:space="preserve">MOs sheet</t>
  </si>
  <si>
    <t xml:space="preserve">Volunteer Rewards &amp; Recognition program ($)</t>
  </si>
  <si>
    <t xml:space="preserve">Volunteers sheet</t>
  </si>
  <si>
    <t xml:space="preserve">Total Legacy funding</t>
  </si>
  <si>
    <t xml:space="preserve">$10M</t>
  </si>
  <si>
    <t xml:space="preserve">Annual Report: $5M to NSWRU; rest to clubs, zones, affiliates for infrastructure, participation &amp; equipment grants</t>
  </si>
  <si>
    <t xml:space="preserve">F&amp;E targets</t>
  </si>
  <si>
    <t xml:space="preserve">20 facilities; 2 major upgrades; &gt;20 clubs equipment</t>
  </si>
  <si>
    <t xml:space="preserve">Project Plan</t>
  </si>
  <si>
    <t xml:space="preserve">Coach &amp; MO accreditation growth 2025</t>
  </si>
  <si>
    <t xml:space="preserve">+18% YoY</t>
  </si>
  <si>
    <t xml:space="preserve">Annual Report 2025</t>
  </si>
  <si>
    <t xml:space="preserve">Dashboard 3-year budget, Inclusion ($)</t>
  </si>
  <si>
    <t xml:space="preserve">Female, First Nations, Pasifika, Integrity, All Abilities, Pride</t>
  </si>
  <si>
    <t xml:space="preserve">Sheets</t>
  </si>
  <si>
    <t xml:space="preserve">Benchmark</t>
  </si>
  <si>
    <t xml:space="preserve">How 12 other sports organisations measure performance + recommended measures</t>
  </si>
  <si>
    <t xml:space="preserve">Impact Analysis</t>
  </si>
  <si>
    <t xml:space="preserve">Spend by area, progress vs targets, benchmark values, insights</t>
  </si>
  <si>
    <t xml:space="preserve">Legacy Grants R1 2025-26</t>
  </si>
  <si>
    <t xml:space="preserve">All 38 Round 1 grants with locations</t>
  </si>
  <si>
    <t xml:space="preserve">Dashboard (all rows)</t>
  </si>
  <si>
    <t xml:space="preserve">Every row of the RWC Dashboard with budgets split by year</t>
  </si>
  <si>
    <t xml:space="preserve">MO &amp; Volunteer budgets</t>
  </si>
  <si>
    <t xml:space="preserve">Referee department and volunteer program budgets</t>
  </si>
  <si>
    <t xml:space="preserve">Program Logic</t>
  </si>
  <si>
    <t xml:space="preserve">Needs, evidence, activities, outputs and outcomes for each component</t>
  </si>
  <si>
    <t xml:space="preserve">Targets &amp; Baselines</t>
  </si>
  <si>
    <t xml:space="preserve">Every KPI with baseline and target</t>
  </si>
  <si>
    <t xml:space="preserve">Participation, workforce, facility and financial data</t>
  </si>
  <si>
    <t xml:space="preserve">Strategic Plan</t>
  </si>
  <si>
    <t xml:space="preserve">NSWRU 2025-27 priorities</t>
  </si>
  <si>
    <t xml:space="preserve">Evaluation Guidance</t>
  </si>
  <si>
    <t xml:space="preserve">Treasury TPG22-22 and Evidence Bank requirements &amp; data</t>
  </si>
  <si>
    <t xml:space="preserve">Gaps &amp; Issues</t>
  </si>
  <si>
    <t xml:space="preserve">Missing data and inconsistencies between files</t>
  </si>
  <si>
    <t xml:space="preserve">Impact Analysis - where the money goes and early evidence of economic &amp; social impact</t>
  </si>
  <si>
    <t xml:space="preserve">Program is ~1 year into a 3-year cycle (2025-2028). Figures below are spending, outputs and early outcome indicators; no monetised impact evaluation exists yet. Green text = linked from other tabs; blue = hardcoded input with source.</t>
  </si>
  <si>
    <t xml:space="preserve">A. Spending by area (known allocations)</t>
  </si>
  <si>
    <t xml:space="preserve">Area</t>
  </si>
  <si>
    <t xml:space="preserve">NSWRU dashboard, 3 yrs ($)</t>
  </si>
  <si>
    <t xml:space="preserve">R1 grants 2025-26 ($)</t>
  </si>
  <si>
    <t xml:space="preserve">Total known ($)</t>
  </si>
  <si>
    <t xml:space="preserve">Share of total</t>
  </si>
  <si>
    <t xml:space="preserve">What it buys</t>
  </si>
  <si>
    <t xml:space="preserve">Facilities &amp; Equipment</t>
  </si>
  <si>
    <t xml:space="preserve">18 facility projects: lighting, changerooms, drainage. Plus Round 2 (outcomes Nov 2026) and 2 priority facilities (amounts not published)</t>
  </si>
  <si>
    <t xml:space="preserve">Programs &amp; Workforce</t>
  </si>
  <si>
    <t xml:space="preserve">MO Manager, workforce recruitment &amp; leadership, referee/coach programs, competitions</t>
  </si>
  <si>
    <t xml:space="preserve">Inclusion</t>
  </si>
  <si>
    <t xml:space="preserve">Female, First Nations, Pasifika, integrity, All Abilities, Pride staff &amp; programs; girls/inclusive grants</t>
  </si>
  <si>
    <t xml:space="preserve">Priority Regions (W. Sydney, Hunter)</t>
  </si>
  <si>
    <t xml:space="preserve">W. Sydney GM, CDM, DO, comps, academy; Hunter R4G</t>
  </si>
  <si>
    <t xml:space="preserve">RWC Activation + PM/M&amp;E</t>
  </si>
  <si>
    <t xml:space="preserve">Event hubs ($370k in 2027), M&amp;E, project management</t>
  </si>
  <si>
    <t xml:space="preserve">Total known</t>
  </si>
  <si>
    <t xml:space="preserve">Staff salaries on dashboard (code "RWC Wages")</t>
  </si>
  <si>
    <t xml:space="preserve">8 funded roles. Salaries end with the grant in 2028 - key sustainability risk</t>
  </si>
  <si>
    <t xml:space="preserve">Holroyd co-investment leverage (grant vs project cost)</t>
  </si>
  <si>
    <t xml:space="preserve">Every $1 of Legacy grant unlocked ~$3.74 of total project spend (Cumberland Council). Round 2 needs &gt;=25% co-contribution</t>
  </si>
  <si>
    <t xml:space="preserve">Round 1 facility $ outside Greater Sydney</t>
  </si>
  <si>
    <t xml:space="preserve">Regional share of facility grants</t>
  </si>
  <si>
    <t xml:space="preserve">B. Early outcome indicators (2025) vs 3-year targets</t>
  </si>
  <si>
    <t xml:space="preserve">Indicator</t>
  </si>
  <si>
    <t xml:space="preserve">Baseline</t>
  </si>
  <si>
    <t xml:space="preserve">3-yr target growth</t>
  </si>
  <si>
    <t xml:space="preserve">Required growth p.a.</t>
  </si>
  <si>
    <t xml:space="preserve">2025 actual growth</t>
  </si>
  <si>
    <t xml:space="preserve">On track?</t>
  </si>
  <si>
    <t xml:space="preserve">Source / note</t>
  </si>
  <si>
    <t xml:space="preserve">Accredited coaches</t>
  </si>
  <si>
    <t xml:space="preserve">Annual Report: +18% YoY. Baseline year assumed = 2024</t>
  </si>
  <si>
    <t xml:space="preserve">Accredited match officials</t>
  </si>
  <si>
    <t xml:space="preserve">Annual Report: +18% YoY. Needs ~20.5% p.a.</t>
  </si>
  <si>
    <t xml:space="preserve">Female participation</t>
  </si>
  <si>
    <t xml:space="preserve">Annual Report: women's game +6%</t>
  </si>
  <si>
    <t xml:space="preserve">Female match officials</t>
  </si>
  <si>
    <t xml:space="preserve">No 2025 figure published</t>
  </si>
  <si>
    <t xml:space="preserve">Female coaches</t>
  </si>
  <si>
    <t xml:space="preserve">Western Sydney participation (annual target 7.5%)</t>
  </si>
  <si>
    <t xml:space="preserve">Annual Report: +9% in 2025; target is +7.5% p.a.</t>
  </si>
  <si>
    <t xml:space="preserve">XV club players (NSWRU KPI: +25% participants by 2027)</t>
  </si>
  <si>
    <t xml:space="preserve">Annual Report: +1.1% to 38,244</t>
  </si>
  <si>
    <t xml:space="preserve">C. Benchmarks for putting a $ value on impact</t>
  </si>
  <si>
    <t xml:space="preserve">Value</t>
  </si>
  <si>
    <t xml:space="preserve">Unit</t>
  </si>
  <si>
    <t xml:space="preserve">Source / how to use</t>
  </si>
  <si>
    <t xml:space="preserve">Value of sport volunteering (Australia)</t>
  </si>
  <si>
    <t xml:space="preserve">$/yr</t>
  </si>
  <si>
    <t xml:space="preserve">ASC Clearinghouse: 158M hrs/yr ~ 90,000 FTE ~ $3B. Use hourly value x rugby volunteer hours</t>
  </si>
  <si>
    <t xml:space="preserve">Implied value per volunteer hour</t>
  </si>
  <si>
    <t xml:space="preserve">$/hr</t>
  </si>
  <si>
    <t xml:space="preserve">Derived from row above</t>
  </si>
  <si>
    <t xml:space="preserve">Social value per female rugby player</t>
  </si>
  <si>
    <t xml:space="preserve">US$/yr</t>
  </si>
  <si>
    <t xml:space="preserve">World Rugby &amp; Portas (2023) SROI</t>
  </si>
  <si>
    <t xml:space="preserve">Social value per male rugby player</t>
  </si>
  <si>
    <t xml:space="preserve">Community sport infrastructure value (Victoria)</t>
  </si>
  <si>
    <t xml:space="preserve">KPMG for Sport &amp; Recreation Victoria (2021): social $2.6B, health $2.3B, economic $2.1B, 13,000+ FTE</t>
  </si>
  <si>
    <t xml:space="preserve">Community sport &amp; recreation value (NSW)</t>
  </si>
  <si>
    <t xml:space="preserve">UTS for Sport NSW, "Beyond the Game" (Feb 2026): $4,039 per resident; 2M participants, 900k volunteers</t>
  </si>
  <si>
    <t xml:space="preserve">Rugby for Good benefit-cost ratio</t>
  </si>
  <si>
    <t xml:space="preserve">x</t>
  </si>
  <si>
    <t xml:space="preserve">Positive Rugby Foundation Balmoral Report (cited in Program Logic): &gt;3:1</t>
  </si>
  <si>
    <t xml:space="preserve">Clontarf (sport-based First Nations program) BCR</t>
  </si>
  <si>
    <t xml:space="preserve">NSW Treasury Evidence Bank 2026 - conservative, justice &amp; health benefits not counted</t>
  </si>
  <si>
    <t xml:space="preserve">Sport return per $1 (Australia)</t>
  </si>
  <si>
    <t xml:space="preserve">BCG (2017) via ASC Clearinghouse</t>
  </si>
  <si>
    <t xml:space="preserve">D. Illustrative calculation - social value of 2025 female growth (not an evaluation result)</t>
  </si>
  <si>
    <t xml:space="preserve">Female XV club players 2025</t>
  </si>
  <si>
    <t xml:space="preserve">Annual Report key stats</t>
  </si>
  <si>
    <t xml:space="preserve">Women's game growth 2025</t>
  </si>
  <si>
    <t xml:space="preserve">Annual Report</t>
  </si>
  <si>
    <t xml:space="preserve">Implied additional female players</t>
  </si>
  <si>
    <t xml:space="preserve">Annual social value of those players (US$)</t>
  </si>
  <si>
    <t xml:space="preserve">x World Rugby per-female-player value</t>
  </si>
  <si>
    <t xml:space="preserve">Share of 3-yr Inclusion spend (dashboard)</t>
  </si>
  <si>
    <t xml:space="preserve">Rough: 1 year of value vs 3-yr budget; ignores attribution &amp; FX</t>
  </si>
  <si>
    <t xml:space="preserve">E. Insights</t>
  </si>
  <si>
    <t xml:space="preserve">Facilities: biggest single cash block and the most regional. Round 1 put ~$1.85M into 18 sites, most outside Sydney, and targeted the audit gaps (31% female-friendly changerooms, 62% adequate lighting, 57% adequate drainage). Economic effect is near-term (construction spend, local trades, council co-investment ~3.7x at Holroyd). Social effect is lagged: participation, female retention and fewer washed-out matches only show 1-2 seasons after completion. Measure at site level vs non-funded clubs.</t>
  </si>
  <si>
    <t xml:space="preserve">Programs &amp; Workforce: cheapest per outcome and already moving. Coaches +18% (ahead of the ~14.5% p.a. needed) and MOs +18% (close to the ~20.5% needed). Coaches and referees are the "multiplier": each one enables dozens of players, so workforce spend drives the participation that generates health and social value. Risk: 45% of volunteers already give 6+ hrs/week - burnout and churn (baseline 39.5%) can erase gains.</t>
  </si>
  <si>
    <t xml:space="preserve">Inclusion: largest dashboard allocation and where per-person social value is highest (female players ~US$3,132 vs male ~US$1,900/yr; First Nations &amp; Pasifika programs link to education, employment and health outcomes). Early outputs are strong (RAP, First Nations Manager, Play Our Way 450+ girls, Pasifika seminar) but female participation +6% is behind the ~14.5% p.a. needed for +50%. Facilities are the bottleneck here too - female-friendly changerooms are a Category 1 priority.</t>
  </si>
  <si>
    <t xml:space="preserve">Cross-cutting: the three pillars depend on each other. Facilities without coaches/referees stay under-used, and new female/diverse players churn without suitable facilities and inclusive workforce. Evaluate the combined effect by region (e.g. Holroyd + W. Sydney staff + All Nations 7s in Cumberland).</t>
  </si>
  <si>
    <t xml:space="preserve">Sustainability: ~37% of dashboard budget is salaries that end in 2028, while NSWRU posted a $1.09M loss in 2025. Legacy impact depends on these roles being absorbed or co-funded after the grant.</t>
  </si>
  <si>
    <t xml:space="preserve">Evaluation gap: no monetised baseline yet. Under TPG22-22 a $10M program needs an M&amp;E plan covering efficiency and net social benefit. Recommend CBA/SROI using the benchmarks above, Treasury Outcomes Values Database and employment calculator, and a 2025 baseline per pillar.</t>
  </si>
  <si>
    <t xml:space="preserve">How other sports organisations and legacy programs measure performance and impact. Researched 24 Sep 2026.</t>
  </si>
  <si>
    <t xml:space="preserve">Organisation</t>
  </si>
  <si>
    <t xml:space="preserve">Type</t>
  </si>
  <si>
    <t xml:space="preserve">Program / scope</t>
  </si>
  <si>
    <t xml:space="preserve">Framework / method</t>
  </si>
  <si>
    <t xml:space="preserve">Outcomes measured</t>
  </si>
  <si>
    <t xml:space="preserve">Data sources</t>
  </si>
  <si>
    <t xml:space="preserve">Cadence</t>
  </si>
  <si>
    <t xml:space="preserve">Headline result</t>
  </si>
  <si>
    <t xml:space="preserve">Lesson for NSW RWC Legacy</t>
  </si>
  <si>
    <t xml:space="preserve">Source</t>
  </si>
  <si>
    <t xml:space="preserve">Sport England</t>
  </si>
  <si>
    <t xml:space="preserve">National sport agency (UK)</t>
  </si>
  <si>
    <t xml:space="preserve">Social &amp; economic value of community sport</t>
  </si>
  <si>
    <t xml:space="preserve">SROI model (Sheffield Hallam); values wellbeing (WELLBYs), health, social/community and economic outcomes</t>
  </si>
  <si>
    <t xml:space="preserve">Health savings; wellbeing; volunteering; GVA</t>
  </si>
  <si>
    <t xml:space="preserve">Active Lives survey (national participation &amp; volunteering); health evidence base</t>
  </si>
  <si>
    <t xml:space="preserve">Annual (Year 2 update Nov 2025)</t>
  </si>
  <si>
    <t xml:space="preserve">£122.9B social value 2023/24; £4.38 per £1 invested</t>
  </si>
  <si>
    <t xml:space="preserve">Use a standard, repeatable SROI model on population survey data; report one ratio each year</t>
  </si>
  <si>
    <t xml:space="preserve">https://www.sportengland.org/research-and-data/research/social-value-and-return-investment-sport-and-physical-activity</t>
  </si>
  <si>
    <t xml:space="preserve">Scottish Rugby</t>
  </si>
  <si>
    <t xml:space="preserve">National rugby union</t>
  </si>
  <si>
    <t xml:space="preserve">Grassroots rugby SROI</t>
  </si>
  <si>
    <t xml:space="preserve">SROI by Substance; 3 pillars: Social, Health &amp; Wellbeing, Economic</t>
  </si>
  <si>
    <t xml:space="preserve">Volunteer value (£31M); juvenile crime reduction; depression/anxiety/chronic disease; facility use (416 pitches)</t>
  </si>
  <si>
    <t xml:space="preserve">Survey of 1,600+ players, parents, volunteers, MOs; 60%+ of clubs; club spending &amp; facility data</t>
  </si>
  <si>
    <t xml:space="preserve">One-off with club case studies</t>
  </si>
  <si>
    <t xml:space="preserve">SROI 7.71:1; £159.16M a year (Health £103.3M, Social £41.2M, Economic £13.5M)</t>
  </si>
  <si>
    <t xml:space="preserve">Closest peer: a rugby union SROI with club surveys, volunteer valuation and club case studies (e.g. mums returning to rugby)</t>
  </si>
  <si>
    <t xml:space="preserve">https://scottishrugby.org/news-and-features/rugby-in-scotland-delivers-8x-return-on-investment/</t>
  </si>
  <si>
    <t xml:space="preserve">World Rugby (with Portas)</t>
  </si>
  <si>
    <t xml:space="preserve">International federation</t>
  </si>
  <si>
    <t xml:space="preserve">Global social value of community rugby</t>
  </si>
  <si>
    <t xml:space="preserve">SROI; value per participant split by gender</t>
  </si>
  <si>
    <t xml:space="preserve">Health (mental illness -33%, obesity -30%); wellbeing (US$1.9B); education/earnings</t>
  </si>
  <si>
    <t xml:space="preserve">Union participation census + literature-based value coefficients</t>
  </si>
  <si>
    <t xml:space="preserve">Periodic (2023 update)</t>
  </si>
  <si>
    <t xml:space="preserve">US$8.4B; US$3,132 per female / US$1,900 per male player a year</t>
  </si>
  <si>
    <t xml:space="preserve">Gives per-player values the NSW program can multiply by new participants, split by gender</t>
  </si>
  <si>
    <t xml:space="preserve">https://www.world.rugby/news/885796/new-report-confirms-community-rugby-contributes-us84-billion-in-social-value-as-global-participation-grows</t>
  </si>
  <si>
    <t xml:space="preserve">RWC 2019 Japan (World Rugby, EY, Nielsen)</t>
  </si>
  <si>
    <t xml:space="preserve">Major event + legacy</t>
  </si>
  <si>
    <t xml:space="preserve">Economic impact + Impact Beyond participation legacy</t>
  </si>
  <si>
    <t xml:space="preserve">Economic impact study (EY); public sentiment survey (Nielsen); legacy participation tracking via Get Into Rugby</t>
  </si>
  <si>
    <t xml:space="preserve">Output, GDP, jobs, visitor spend; new participants, female share, school tag rugby; national pride</t>
  </si>
  <si>
    <t xml:space="preserve">Ticketing, visitor surveys, Get Into Rugby registrations across 22 unions</t>
  </si>
  <si>
    <t xml:space="preserve">Pre-event targets; post-event report (2020)</t>
  </si>
  <si>
    <t xml:space="preserve">£4.3B output; £2.3B GDP; 46,340 jobs; 2.25M new participants (43.1% female); 769k schoolchildren</t>
  </si>
  <si>
    <t xml:space="preserve">Track new-participant counts and female share from RWC hubs; separate event economics from community legacy</t>
  </si>
  <si>
    <t xml:space="preserve">https://www.world.rugby/news/572269/rwc-2019-delivers-record-economic-social-and-sporting-outcomes-for-japan</t>
  </si>
  <si>
    <t xml:space="preserve">Rugby Australia - Impact Beyond 2027/2029</t>
  </si>
  <si>
    <t xml:space="preserve">National rugby union + Federal Govt</t>
  </si>
  <si>
    <t xml:space="preserve">A$30M legacy program (part of A$90M)</t>
  </si>
  <si>
    <t xml:space="preserve">Target-based national KPIs; detailed metrics "to be shared" as delivery progresses</t>
  </si>
  <si>
    <t xml:space="preserve">Participation; women &amp; girls; club programs; coaches &amp; MOs; 15s &amp; 7s growth</t>
  </si>
  <si>
    <t xml:space="preserve">Rugby Xplorer registrations (national census)</t>
  </si>
  <si>
    <t xml:space="preserve">To 2029</t>
  </si>
  <si>
    <t xml:space="preserve">Targets: 220k+ participants (+38%); women &amp; girls +70%; club programs 8k to 16.5k; coaches &amp; MOs +30%</t>
  </si>
  <si>
    <t xml:space="preserve">NSW targets should roll up to these. NSW workforce targets (+50% coaches, +75% MOs) are more ambitious; NSW female target (+50%) is less ambitious</t>
  </si>
  <si>
    <t xml:space="preserve">https://www.rugbyworldcup.com/2027/en/news/1045874/impact-beyond-legacy-programme-launched-with-aud-30-million-funding-to-maximise-rugby-world-cups-benefits-across-australia-and-the-pacific</t>
  </si>
  <si>
    <t xml:space="preserve">Football Australia - Legacy '23</t>
  </si>
  <si>
    <t xml:space="preserve">National federation + governments</t>
  </si>
  <si>
    <t xml:space="preserve">FIFA Women's World Cup 2023 legacy</t>
  </si>
  <si>
    <t xml:space="preserve">Pillar plan with pre- and post-tournament reports</t>
  </si>
  <si>
    <t xml:space="preserve">Participation; FACILITIES; leadership &amp; development (coaches, referees); tourism; high performance</t>
  </si>
  <si>
    <t xml:space="preserve">Registrations; facility audit (national gap)</t>
  </si>
  <si>
    <t xml:space="preserve">Pre / post / ongoing reports</t>
  </si>
  <si>
    <t xml:space="preserve">1.7M participants; A$200M federal Play Our Way facility grants; A$2.9B facility gap identified</t>
  </si>
  <si>
    <t xml:space="preserve">Pair facility spending with a quantified national facility gap; publish pre/post legacy reports</t>
  </si>
  <si>
    <t xml:space="preserve">https://footballaustralia.com.au/legacy23</t>
  </si>
  <si>
    <t xml:space="preserve">AFL community football (La Trobe Uni)</t>
  </si>
  <si>
    <t xml:space="preserve">Community clubs</t>
  </si>
  <si>
    <t xml:space="preserve">Social value of community football clubs</t>
  </si>
  <si>
    <t xml:space="preserve">Club-level SROI; mixed methods</t>
  </si>
  <si>
    <t xml:space="preserve">Social connectedness; mental health; employment for ages 15-24; personal development; volunteering</t>
  </si>
  <si>
    <t xml:space="preserve">9 clubs; 110 interviews; 1,677 surveys; police &amp; local government input</t>
  </si>
  <si>
    <t xml:space="preserve">One-off study</t>
  </si>
  <si>
    <t xml:space="preserve">$4.40 social value per $1 spent on a club</t>
  </si>
  <si>
    <t xml:space="preserve">Model for measuring club-level impact at facility-grant and seed-funded clubs</t>
  </si>
  <si>
    <t xml:space="preserve">https://aflplayers.com.au/article/study-proves-football-returns-value-to-society</t>
  </si>
  <si>
    <t xml:space="preserve">Birmingham 2022 Commonwealth Games (UK DCMS)</t>
  </si>
  <si>
    <t xml:space="preserve">Government-funded major event</t>
  </si>
  <si>
    <t xml:space="preserve">Games &amp; legacy evaluation</t>
  </si>
  <si>
    <t xml:space="preserve">Theory-based evaluation with logic model; interim + 1-year-post reports; methodology annex</t>
  </si>
  <si>
    <t xml:space="preserve">GVA; jobs (FTE years); social value; FDI; legacy fund; venue legacy</t>
  </si>
  <si>
    <t xml:space="preserve">Economic modelling, surveys, admin data</t>
  </si>
  <si>
    <t xml:space="preserve">Interim (2023), 1-year post (Mar 2024)</t>
  </si>
  <si>
    <t xml:space="preserve">£1.2B GVA; 22,380 FTE years; £79.5M social value (£150M+ potential)</t>
  </si>
  <si>
    <t xml:space="preserve">Government-grade template: logic model, staged reports, published method annex (matches TPG22-22)</t>
  </si>
  <si>
    <t xml:space="preserve">https://www.commonwealthsport.com/news/3959746/evaluation-of-the-birmingham-2022-commonwealth-games-one-year-post-games-evaluations-report-march-2024</t>
  </si>
  <si>
    <t xml:space="preserve">RFU England (with 4Global)</t>
  </si>
  <si>
    <t xml:space="preserve">Facility investment model</t>
  </si>
  <si>
    <t xml:space="preserve">Live demand-based investment model; interactive mapping</t>
  </si>
  <si>
    <t xml:space="preserve">Projected club membership; pitch surplus/deficit; population density; site counts</t>
  </si>
  <si>
    <t xml:space="preserve">DataHub + RFU membership data</t>
  </si>
  <si>
    <t xml:space="preserve">Live / continuous</t>
  </si>
  <si>
    <t xml:space="preserve">Weighted prioritisation of facility investment by demand</t>
  </si>
  <si>
    <t xml:space="preserve">Use to prioritise and justify Round 2 facility grants and the unnamed Sydney priority site</t>
  </si>
  <si>
    <t xml:space="preserve">https://4global.com/case-study/rfu-rugby/</t>
  </si>
  <si>
    <t xml:space="preserve">Sport NSW / UTS - Beyond the Game</t>
  </si>
  <si>
    <t xml:space="preserve">State peak body</t>
  </si>
  <si>
    <t xml:space="preserve">Value of community sport &amp; recreation in NSW</t>
  </si>
  <si>
    <t xml:space="preserve">Social, economic &amp; health valuation</t>
  </si>
  <si>
    <t xml:space="preserve">Participants; volunteers; social, economic, health benefit</t>
  </si>
  <si>
    <t xml:space="preserve">State participation &amp; volunteer data</t>
  </si>
  <si>
    <t xml:space="preserve">Feb 2026</t>
  </si>
  <si>
    <t xml:space="preserve">A$34.7B a year; A$4,039 per resident; ~2M participants; 900k volunteers; recommends A$100M a year for facilities</t>
  </si>
  <si>
    <t xml:space="preserve">NSW-specific benchmark for the evaluation; same state context</t>
  </si>
  <si>
    <t xml:space="preserve">https://www.sportnsw.com.au/news/beyond-the-game-the-value-of-community-sport</t>
  </si>
  <si>
    <t xml:space="preserve">Brisbane 2032 - Elevate 2042</t>
  </si>
  <si>
    <t xml:space="preserve">State govt legacy strategy</t>
  </si>
  <si>
    <t xml:space="preserve">20-year Olympic &amp; Paralympic legacy</t>
  </si>
  <si>
    <t xml:space="preserve">Vision with themes; implementation &amp; measurement plan still in development</t>
  </si>
  <si>
    <t xml:space="preserve">Health &amp; wellbeing; connectivity; environment; economy</t>
  </si>
  <si>
    <t xml:space="preserve">TBD</t>
  </si>
  <si>
    <t xml:space="preserve">20 years</t>
  </si>
  <si>
    <t xml:space="preserve">No public KPIs yet</t>
  </si>
  <si>
    <t xml:space="preserve">Shows the risk of a legacy strategy without early KPIs and baselines</t>
  </si>
  <si>
    <t xml:space="preserve">https://www.sport.qld.gov.au/olympic-and-paralympic-games-office/games-legacy</t>
  </si>
  <si>
    <t xml:space="preserve">Positive Rugby Foundation (NSW) - Rugby for Good</t>
  </si>
  <si>
    <t xml:space="preserve">NSW rugby charity</t>
  </si>
  <si>
    <t xml:space="preserve">R4G programs (Tackle Life, Holiday Break, Get Talkin)</t>
  </si>
  <si>
    <t xml:space="preserve">Cost-benefit analysis (Balmoral Report)</t>
  </si>
  <si>
    <t xml:space="preserve">Mental health; education; youth crime; employment</t>
  </si>
  <si>
    <t xml:space="preserve">Program data</t>
  </si>
  <si>
    <t xml:space="preserve">One-off</t>
  </si>
  <si>
    <t xml:space="preserve">BCR &gt; 3:1</t>
  </si>
  <si>
    <t xml:space="preserve">Existing in-house evidence that can be extended to Hunter R4G and Inclusion programs</t>
  </si>
  <si>
    <t xml:space="preserve">Program Logic doc (project file)</t>
  </si>
  <si>
    <t xml:space="preserve">Recommended measures for the NSW RWC Legacy framework (drawn from the benchmarks)</t>
  </si>
  <si>
    <t xml:space="preserve">Highlight</t>
  </si>
  <si>
    <t xml:space="preserve">Measure</t>
  </si>
  <si>
    <t xml:space="preserve">Borrowed from</t>
  </si>
  <si>
    <t xml:space="preserve">Data source / tool</t>
  </si>
  <si>
    <t xml:space="preserve">Participation growth at funded sites vs matched unfunded sites</t>
  </si>
  <si>
    <t xml:space="preserve">Outcome</t>
  </si>
  <si>
    <t xml:space="preserve">AFL/La Trobe club method; Birmingham</t>
  </si>
  <si>
    <t xml:space="preserve">Rugby Xplorer by venue</t>
  </si>
  <si>
    <t xml:space="preserve">Usage hours, night-training capacity (lighting), matches lost to weather</t>
  </si>
  <si>
    <t xml:space="preserve">Output / outcome</t>
  </si>
  <si>
    <t xml:space="preserve">RFU/4Global; Scottish Rugby (pitch use)</t>
  </si>
  <si>
    <t xml:space="preserve">Club &amp; council booking data; RA audit</t>
  </si>
  <si>
    <t xml:space="preserve">Pitch/changeroom surplus or deficit vs demand, by LGA</t>
  </si>
  <si>
    <t xml:space="preserve">Need / prioritisation</t>
  </si>
  <si>
    <t xml:space="preserve">RFU/4Global; Football Australia facility gap</t>
  </si>
  <si>
    <t xml:space="preserve">RA National Facility Audit + demand model</t>
  </si>
  <si>
    <t xml:space="preserve">Co-investment leverage and construction jobs</t>
  </si>
  <si>
    <t xml:space="preserve">Economic</t>
  </si>
  <si>
    <t xml:space="preserve">Birmingham (GVA, FTE years)</t>
  </si>
  <si>
    <t xml:space="preserve">Grant data; NSW Treasury employment calculator</t>
  </si>
  <si>
    <t xml:space="preserve">Accredited coaches &amp; MOs; player ratios; workforce churn</t>
  </si>
  <si>
    <t xml:space="preserve">Rugby Australia Impact Beyond (+30%)</t>
  </si>
  <si>
    <t xml:space="preserve">Rugby Xplorer / RA LMS</t>
  </si>
  <si>
    <t xml:space="preserve">Volunteer hours x hourly value</t>
  </si>
  <si>
    <t xml:space="preserve">Economic / social</t>
  </si>
  <si>
    <t xml:space="preserve">Scottish Rugby (£31M volunteer value); Sport England</t>
  </si>
  <si>
    <t xml:space="preserve">Volunteer survey; ASC value (~$19/hr)</t>
  </si>
  <si>
    <t xml:space="preserve">Participant &amp; volunteer wellbeing (life satisfaction)</t>
  </si>
  <si>
    <t xml:space="preserve">Social</t>
  </si>
  <si>
    <t xml:space="preserve">Sport England WELLBY; Scottish Rugby</t>
  </si>
  <si>
    <t xml:space="preserve">End-of-season survey with a wellbeing question</t>
  </si>
  <si>
    <t xml:space="preserve">Female share of new participants; female, First Nations &amp; Pasifika coaches/MOs/board members</t>
  </si>
  <si>
    <t xml:space="preserve">Outcome / equity</t>
  </si>
  <si>
    <t xml:space="preserve">RWC 2019 (43.1% female); RA Impact Beyond (+70%)</t>
  </si>
  <si>
    <t xml:space="preserve">Rugby Xplorer demographic fields</t>
  </si>
  <si>
    <t xml:space="preserve">Social value per new participant by gender</t>
  </si>
  <si>
    <t xml:space="preserve">Social (monetised)</t>
  </si>
  <si>
    <t xml:space="preserve">World Rugby/Portas</t>
  </si>
  <si>
    <t xml:space="preserve">New participants x US$3,132 / US$1,900</t>
  </si>
  <si>
    <t xml:space="preserve">Program outcomes: education, employment, mental health</t>
  </si>
  <si>
    <t xml:space="preserve">Rugby for Good BCR; Clontarf evaluation</t>
  </si>
  <si>
    <t xml:space="preserve">Program surveys; case studies</t>
  </si>
  <si>
    <t xml:space="preserve">Whole program</t>
  </si>
  <si>
    <t xml:space="preserve">Overall SROI / BCR with 2025 baseline and 2028 follow-up</t>
  </si>
  <si>
    <t xml:space="preserve">Economic &amp; social</t>
  </si>
  <si>
    <t xml:space="preserve">Scottish Rugby; Sport England; Birmingham</t>
  </si>
  <si>
    <t xml:space="preserve">TPG22-22; Treasury Outcomes Values Database</t>
  </si>
  <si>
    <t xml:space="preserve">RWC hub new participants and conversion to club registration</t>
  </si>
  <si>
    <t xml:space="preserve">Legacy</t>
  </si>
  <si>
    <t xml:space="preserve">RWC 2019 Impact Beyond</t>
  </si>
  <si>
    <t xml:space="preserve">Hub registrations matched to Rugby Xplorer</t>
  </si>
  <si>
    <t xml:space="preserve">Source: NSW Office of Sport, "NSW Rugby World Cup Legacy Program recipients 2025-26" (sport.nsw.gov.au). Category 1 = infrastructure ($25k-$150k); Category 2 = participation programs ($5k-$20k). Glen Innes and Temora locations appear swapped on the source page; corrected here and flagged.</t>
  </si>
  <si>
    <t xml:space="preserve">Category</t>
  </si>
  <si>
    <t xml:space="preserve">Recipient</t>
  </si>
  <si>
    <t xml:space="preserve">Project</t>
  </si>
  <si>
    <t xml:space="preserve">Upgrade / program type</t>
  </si>
  <si>
    <t xml:space="preserve">Suburb / town</t>
  </si>
  <si>
    <t xml:space="preserve">LGA</t>
  </si>
  <si>
    <t xml:space="preserve">Region</t>
  </si>
  <si>
    <t xml:space="preserve">Grant ($)</t>
  </si>
  <si>
    <t xml:space="preserve">1</t>
  </si>
  <si>
    <t xml:space="preserve">Coffs Harbour Snappers Rugby Union Club</t>
  </si>
  <si>
    <t xml:space="preserve">Changeroom upgrades - Coffs Rugby Park</t>
  </si>
  <si>
    <t xml:space="preserve">Changerooms (inclusive/accessible)</t>
  </si>
  <si>
    <t xml:space="preserve">Toormina</t>
  </si>
  <si>
    <t xml:space="preserve">Coffs Harbour City Council</t>
  </si>
  <si>
    <t xml:space="preserve">Mid North Coast</t>
  </si>
  <si>
    <t xml:space="preserve">Coonamble Shire Council</t>
  </si>
  <si>
    <t xml:space="preserve">Gulargambone Sportsground lighting and changeroom upgrades</t>
  </si>
  <si>
    <t xml:space="preserve">Lighting + changerooms</t>
  </si>
  <si>
    <t xml:space="preserve">Gulargambone</t>
  </si>
  <si>
    <t xml:space="preserve">Western NSW</t>
  </si>
  <si>
    <t xml:space="preserve">Cumberland Council</t>
  </si>
  <si>
    <t xml:space="preserve">Holroyd Sportsgrounds female-friendly facilities (total project $561,000)</t>
  </si>
  <si>
    <t xml:space="preserve">Female-friendly changerooms</t>
  </si>
  <si>
    <t xml:space="preserve">Holroyd</t>
  </si>
  <si>
    <t xml:space="preserve">Western Sydney</t>
  </si>
  <si>
    <t xml:space="preserve">Emus Rugby Club Limited</t>
  </si>
  <si>
    <t xml:space="preserve">Endeavour Oval Field 2 LED lighting upgrade</t>
  </si>
  <si>
    <t xml:space="preserve">Lighting</t>
  </si>
  <si>
    <t xml:space="preserve">Orange</t>
  </si>
  <si>
    <t xml:space="preserve">Orange City Council</t>
  </si>
  <si>
    <t xml:space="preserve">Central West</t>
  </si>
  <si>
    <t xml:space="preserve">Glen Innes Elks Rugby Union Football Club</t>
  </si>
  <si>
    <t xml:space="preserve">Irrigation at Glen Innes Rugby Park</t>
  </si>
  <si>
    <t xml:space="preserve">Drainage / irrigation</t>
  </si>
  <si>
    <t xml:space="preserve">Glen Innes (listed as Temora)</t>
  </si>
  <si>
    <t xml:space="preserve">Glen Innes Severn (listed as Temora Shire)</t>
  </si>
  <si>
    <t xml:space="preserve">New England</t>
  </si>
  <si>
    <t xml:space="preserve">Goulburn Rugby Union Football Club</t>
  </si>
  <si>
    <t xml:space="preserve">Change room upgrades</t>
  </si>
  <si>
    <t xml:space="preserve">Changerooms</t>
  </si>
  <si>
    <t xml:space="preserve">Goulburn</t>
  </si>
  <si>
    <t xml:space="preserve">Goulburn Mulwaree Council</t>
  </si>
  <si>
    <t xml:space="preserve">Southern Tablelands</t>
  </si>
  <si>
    <t xml:space="preserve">Inverell Rugby Club</t>
  </si>
  <si>
    <t xml:space="preserve">Playing Safe Under Lights</t>
  </si>
  <si>
    <t xml:space="preserve">Inverell</t>
  </si>
  <si>
    <t xml:space="preserve">Inverell Shire Council</t>
  </si>
  <si>
    <t xml:space="preserve">Manly Rugby Football Club</t>
  </si>
  <si>
    <t xml:space="preserve">Keirle Park refurbishment incl. change rooms</t>
  </si>
  <si>
    <t xml:space="preserve">Manly</t>
  </si>
  <si>
    <t xml:space="preserve">Northern Beaches Council</t>
  </si>
  <si>
    <t xml:space="preserve">Sydney - Northern Beaches</t>
  </si>
  <si>
    <t xml:space="preserve">Mid-Western Regional Council</t>
  </si>
  <si>
    <t xml:space="preserve">Glen Willow Regional Sporting Complex rugby PA system upgrade</t>
  </si>
  <si>
    <t xml:space="preserve">PA / amenity</t>
  </si>
  <si>
    <t xml:space="preserve">Mudgee (Putta Bucca)</t>
  </si>
  <si>
    <t xml:space="preserve">Muswellbrook Shire Council</t>
  </si>
  <si>
    <t xml:space="preserve">Highbrook Park facility upgrades</t>
  </si>
  <si>
    <t xml:space="preserve">Amenities</t>
  </si>
  <si>
    <t xml:space="preserve">Muswellbrook</t>
  </si>
  <si>
    <t xml:space="preserve">Hunter</t>
  </si>
  <si>
    <t xml:space="preserve">Orange City Rugby Club Inc</t>
  </si>
  <si>
    <t xml:space="preserve">New amenities building and spectator awning</t>
  </si>
  <si>
    <t xml:space="preserve">Amenities + shade</t>
  </si>
  <si>
    <t xml:space="preserve">Port Macquarie-Hastings Council</t>
  </si>
  <si>
    <t xml:space="preserve">Stuart Park Regional Sporting Precinct Field 5 subsurface drainage</t>
  </si>
  <si>
    <t xml:space="preserve">Drainage</t>
  </si>
  <si>
    <t xml:space="preserve">Port Macquarie</t>
  </si>
  <si>
    <t xml:space="preserve">Sutherland Shire Council</t>
  </si>
  <si>
    <t xml:space="preserve">John Dwyer Reserve field lighting and surface renewal</t>
  </si>
  <si>
    <t xml:space="preserve">Lighting + surface</t>
  </si>
  <si>
    <t xml:space="preserve">Caringbah South</t>
  </si>
  <si>
    <t xml:space="preserve">Sydney - South</t>
  </si>
  <si>
    <t xml:space="preserve">Temora Rugby Union Football Club</t>
  </si>
  <si>
    <t xml:space="preserve">Multi-purpose facility (training, storage, function space)</t>
  </si>
  <si>
    <t xml:space="preserve">Clubhouse / storage</t>
  </si>
  <si>
    <t xml:space="preserve">Temora (listed as Glen Innes)</t>
  </si>
  <si>
    <t xml:space="preserve">Temora Shire (listed as Glen Innes Severn)</t>
  </si>
  <si>
    <t xml:space="preserve">Riverina</t>
  </si>
  <si>
    <t xml:space="preserve">Wakehurst Rugby Club</t>
  </si>
  <si>
    <t xml:space="preserve">Change room modernisation</t>
  </si>
  <si>
    <t xml:space="preserve">Belrose</t>
  </si>
  <si>
    <t xml:space="preserve">Warren Shire Council</t>
  </si>
  <si>
    <t xml:space="preserve">Victoria Park Precinct: hot water, player recovery and safety</t>
  </si>
  <si>
    <t xml:space="preserve">Warren</t>
  </si>
  <si>
    <t xml:space="preserve">Woollahra Colleagues RUFC</t>
  </si>
  <si>
    <t xml:space="preserve">Drainage works at Woollahra Oval 2/3</t>
  </si>
  <si>
    <t xml:space="preserve">Rose Bay</t>
  </si>
  <si>
    <t xml:space="preserve">Woollahra Municipal Council</t>
  </si>
  <si>
    <t xml:space="preserve">Sydney - East</t>
  </si>
  <si>
    <t xml:space="preserve">Woonona Shamrocks Junior Rugby Club</t>
  </si>
  <si>
    <t xml:space="preserve">Youth &amp; girls growth and accessibility improvements</t>
  </si>
  <si>
    <t xml:space="preserve">Accessibility</t>
  </si>
  <si>
    <t xml:space="preserve">Woonona</t>
  </si>
  <si>
    <t xml:space="preserve">Wollongong City Council</t>
  </si>
  <si>
    <t xml:space="preserve">Illawarra</t>
  </si>
  <si>
    <t xml:space="preserve">2</t>
  </si>
  <si>
    <t xml:space="preserve">Central West Rugby Union</t>
  </si>
  <si>
    <t xml:space="preserve">Referee Support and Development Program</t>
  </si>
  <si>
    <t xml:space="preserve">Match officials</t>
  </si>
  <si>
    <t xml:space="preserve">Coffs Harbour Junior Rugby Union</t>
  </si>
  <si>
    <t xml:space="preserve">Crusaders Girls Rugby Safety and Coaching Legacy Program</t>
  </si>
  <si>
    <t xml:space="preserve">Coaching / female</t>
  </si>
  <si>
    <t xml:space="preserve">Coffs Harbour Snappers RUC</t>
  </si>
  <si>
    <t xml:space="preserve">Coach &amp; athlete development</t>
  </si>
  <si>
    <t xml:space="preserve">Coaching</t>
  </si>
  <si>
    <t xml:space="preserve">Country Rugby Union of NSW</t>
  </si>
  <si>
    <t xml:space="preserve">Athlete Physical Development Program</t>
  </si>
  <si>
    <t xml:space="preserve">Pathways</t>
  </si>
  <si>
    <t xml:space="preserve">Scone</t>
  </si>
  <si>
    <t xml:space="preserve">Upper Hunter Shire Council</t>
  </si>
  <si>
    <t xml:space="preserve">Forbes Rugby Union Club</t>
  </si>
  <si>
    <t xml:space="preserve">Female player participation and coaches</t>
  </si>
  <si>
    <t xml:space="preserve">Forbes</t>
  </si>
  <si>
    <t xml:space="preserve">Forbes Shire Council</t>
  </si>
  <si>
    <t xml:space="preserve">Illawarra District Rugby Union</t>
  </si>
  <si>
    <t xml:space="preserve">Junior Rugby Pathways Academy</t>
  </si>
  <si>
    <t xml:space="preserve">Keiraville</t>
  </si>
  <si>
    <t xml:space="preserve">Friday Night Junior 7s expansion</t>
  </si>
  <si>
    <t xml:space="preserve">Competition</t>
  </si>
  <si>
    <t xml:space="preserve">Maitland Junior Rugby Club</t>
  </si>
  <si>
    <t xml:space="preserve">Level 1 &amp; 2 coach development</t>
  </si>
  <si>
    <t xml:space="preserve">Lorn</t>
  </si>
  <si>
    <t xml:space="preserve">Maitland City Council</t>
  </si>
  <si>
    <t xml:space="preserve">New England Junior Rugby Union</t>
  </si>
  <si>
    <t xml:space="preserve">Inclusive youth participation &amp; pathways (U14-U18)</t>
  </si>
  <si>
    <t xml:space="preserve">Participation</t>
  </si>
  <si>
    <t xml:space="preserve">Armidale</t>
  </si>
  <si>
    <t xml:space="preserve">Armidale Regional Council</t>
  </si>
  <si>
    <t xml:space="preserve">NSW Country Referees Association</t>
  </si>
  <si>
    <t xml:space="preserve">Country Match Official recruitment and education</t>
  </si>
  <si>
    <t xml:space="preserve">Daceyville</t>
  </si>
  <si>
    <t xml:space="preserve">Bayside Council</t>
  </si>
  <si>
    <t xml:space="preserve">Statewide (country)</t>
  </si>
  <si>
    <t xml:space="preserve">NSW Junior Rugby Union</t>
  </si>
  <si>
    <t xml:space="preserve">Juniors All Nations 7s Cup</t>
  </si>
  <si>
    <t xml:space="preserve">Competition / inclusion</t>
  </si>
  <si>
    <t xml:space="preserve">Merrylands</t>
  </si>
  <si>
    <t xml:space="preserve">NSW Suburban Rugby Union</t>
  </si>
  <si>
    <t xml:space="preserve">Rugby Competitions For All</t>
  </si>
  <si>
    <t xml:space="preserve">Southern Inland Rugby Referees Association</t>
  </si>
  <si>
    <t xml:space="preserve">Referee Development Pathway Program</t>
  </si>
  <si>
    <t xml:space="preserve">Bourkelands</t>
  </si>
  <si>
    <t xml:space="preserve">Wagga Wagga City Council</t>
  </si>
  <si>
    <t xml:space="preserve">Southern Inland Rugby Union</t>
  </si>
  <si>
    <t xml:space="preserve">Get into Rugby focus (Walla &amp; Tri Time)</t>
  </si>
  <si>
    <t xml:space="preserve">Wagga Wagga</t>
  </si>
  <si>
    <t xml:space="preserve">Sydney Junior Rugby Union</t>
  </si>
  <si>
    <t xml:space="preserve">Get into Rugby - Walla Club Initiative</t>
  </si>
  <si>
    <t xml:space="preserve">Sydney</t>
  </si>
  <si>
    <t xml:space="preserve">Coaching Junior Rugby Initiative</t>
  </si>
  <si>
    <t xml:space="preserve">Sydney Women's Rugby Union</t>
  </si>
  <si>
    <t xml:space="preserve">Tri-Tag Pathways non-contact competition</t>
  </si>
  <si>
    <t xml:space="preserve">Competition / female</t>
  </si>
  <si>
    <t xml:space="preserve">Western Plains Junior Rugby Union Club</t>
  </si>
  <si>
    <t xml:space="preserve">Under 12s Development Program</t>
  </si>
  <si>
    <t xml:space="preserve">Warren (Ravenswood)</t>
  </si>
  <si>
    <t xml:space="preserve">Junior Coach Development Program</t>
  </si>
  <si>
    <t xml:space="preserve">Bourke</t>
  </si>
  <si>
    <t xml:space="preserve">Bourke Shire</t>
  </si>
  <si>
    <t xml:space="preserve">Yamba Buccaneers Rugby Club</t>
  </si>
  <si>
    <t xml:space="preserve">Clarence Valley Rugby 7s schools competition</t>
  </si>
  <si>
    <t xml:space="preserve">Yamba</t>
  </si>
  <si>
    <t xml:space="preserve">Clarence Valley Council</t>
  </si>
  <si>
    <t xml:space="preserve">Northern Rivers</t>
  </si>
  <si>
    <t xml:space="preserve">Projects</t>
  </si>
  <si>
    <t xml:space="preserve">Category 1 - Facilities total</t>
  </si>
  <si>
    <t xml:space="preserve">Category 2 - Programs total</t>
  </si>
  <si>
    <t xml:space="preserve">Round 1 total</t>
  </si>
  <si>
    <t xml:space="preserve">Facilities budget elsewhere in the $10M (from project files):</t>
  </si>
  <si>
    <t xml:space="preserve">- Round 2 (2026/27): up to a further ~$2.15M; Category 1 closed 14 Aug 2026, outcomes from Nov 2026; 25% co-contribution; works Jan 2027 - Jan 2029.</t>
  </si>
  <si>
    <t xml:space="preserve">- Targeted priority infrastructure: Connolly Park, Wagga Wagga (ACT &amp; Southern NSW Rugby Union + RA) and one Sydney priority facility (NSWRU + RA; venue not named). No dollar amount or confirmation found publicly.</t>
  </si>
  <si>
    <t xml:space="preserve">- Equipment grants (e.g. scrum machines ~$11k) are planned in the Project Plan; no separate equipment recipients are published, and Round 1 folded equipment into Category 2.</t>
  </si>
  <si>
    <t xml:space="preserve">- Conolly Park (Wagga) is getting changeroom &amp; plumbing work from a separate $134k ClubGRANTS/council project (Wagga City Council, May 2026) - not RWC Legacy money.</t>
  </si>
  <si>
    <t xml:space="preserve">Source: RWC Dashboard 010926 2.xlsx, sheet "Dashboard" (every row, A2:H27). Year budgets split from the "3 year Budget" text column. Pillar mapping from Project Plan. NOTE: the dashboard has NO Pillar 1 Facilities &amp; Equipment initiatives.</t>
  </si>
  <si>
    <t xml:space="preserve">Why highlighted</t>
  </si>
  <si>
    <t xml:space="preserve">Project Plan pillar</t>
  </si>
  <si>
    <t xml:space="preserve">Initiative</t>
  </si>
  <si>
    <t xml:space="preserve">Key activities</t>
  </si>
  <si>
    <t xml:space="preserve">Year 1 budget ($)</t>
  </si>
  <si>
    <t xml:space="preserve">Year 2 budget ($)</t>
  </si>
  <si>
    <t xml:space="preserve">Year 3 budget ($)</t>
  </si>
  <si>
    <t xml:space="preserve">3-year total ($)</t>
  </si>
  <si>
    <t xml:space="preserve">Budget items</t>
  </si>
  <si>
    <t xml:space="preserve">NSWRU initiatives</t>
  </si>
  <si>
    <t xml:space="preserve">Code</t>
  </si>
  <si>
    <t xml:space="preserve">Due / status</t>
  </si>
  <si>
    <t xml:space="preserve">Performance measures</t>
  </si>
  <si>
    <t xml:space="preserve">P2 Priority Regions</t>
  </si>
  <si>
    <t xml:space="preserve">Western Sydney GM</t>
  </si>
  <si>
    <t xml:space="preserve">* Appoint Head of Western Sydney 
* Manage Strategic and operational diretion for  Western Sydney
* Manage WS Academy
* Work with Club Developemnt  Manager to lead club strategic direction
* Launch Western Sydney Rugby Alliance</t>
  </si>
  <si>
    <t xml:space="preserve">WS GM Salary</t>
  </si>
  <si>
    <t xml:space="preserve">Appoint Head of WS</t>
  </si>
  <si>
    <t xml:space="preserve">RWC Wages</t>
  </si>
  <si>
    <t xml:space="preserve">In place</t>
  </si>
  <si>
    <t xml:space="preserve">Western Sydney Rugby alliance that meets 3 x annually
New schools’ competition incl. Western Sydney Waratah Shield Division, U16 competition, and primary school competition for boys and girls and foster links between schools and local clubs
Launch Western Sydney academy – 30 males and 30 females in the program per season
Increase Western Sydney funding through Rugby for Good hub – source $125k annually</t>
  </si>
  <si>
    <t xml:space="preserve">Workforce: club development training &amp; education for administrators</t>
  </si>
  <si>
    <t xml:space="preserve">Western Sydney Club Development Mgr</t>
  </si>
  <si>
    <t xml:space="preserve">* Appoint Western Sydney Club Development Manager
* Increased Club Development support to improve existing clubs and develop new clubs where required.
* Support clubs to reach governance standards.
* Support clubs with their attainment of 40:40:20 Governance model
* Deliver yearly Club Health Check for each W. Syd club
* Deliver yearly Club Development workshops
* Deliver Action Plans for each club
* Deliver appropriate training, education and assistance</t>
  </si>
  <si>
    <t xml:space="preserve"> WS CDM Salary
</t>
  </si>
  <si>
    <t xml:space="preserve">Appoint WS CDM</t>
  </si>
  <si>
    <t xml:space="preserve">Ensure all clubs in Western Sydney reach Developing standards in the RA Club Standards program and are all legally compliant organisations
Club Development Manager to meet all clubs in Western Sydney twice annually
Each Western Sydney club to complete the RA Club Health Check annually
Each club to receive a tailored Club Action Plan
Drive increase in gender balanced club boards (40:40:20) - 40% of clubs currently meet this ratio 
Reduce participant churn by 1% per year - baseline 48.9% in Western Sydney</t>
  </si>
  <si>
    <t xml:space="preserve">Workforce: 3 coaching courses p.a.; recruit/retain coaches &amp; match officials</t>
  </si>
  <si>
    <t xml:space="preserve">Western Sydney DO</t>
  </si>
  <si>
    <t xml:space="preserve">* Appoint Western Sydney Development Officer
* Deliver Western Sydney Schools programs
* Connect Western Sydney schools with local clubs
* Attend club training sessions
* Deliver coaching course in Western Sydney
* Support junior clubs with recruitment and retention of players, coaches and match officials
* Convert exposure/sampling opportunities in gala days and programs into regular club rugby participants</t>
  </si>
  <si>
    <t xml:space="preserve">WS DO Salary</t>
  </si>
  <si>
    <t xml:space="preserve">Appoint WS DO</t>
  </si>
  <si>
    <t xml:space="preserve">Currently being recuited.  Co-funding from Eastwood</t>
  </si>
  <si>
    <t xml:space="preserve">Increase overall participation by 7.5% per annum – schools, clubs, gala days, tournaments
Deliver 3 x coaching courses per annum
Attend club training sessions 2 x per annum
Reduce participant churn by 1% per year - baseline 48.9%</t>
  </si>
  <si>
    <t xml:space="preserve">Competition seed-funding (P&amp;W activity type) + equipment items (uniforms)</t>
  </si>
  <si>
    <t xml:space="preserve">Western Syd Comps</t>
  </si>
  <si>
    <t xml:space="preserve">* Seed-fund new, and grow existing competitions in Western Sydney across clubs and schools in both contact and non-contact formats
* Develop new Schools competition including Western Sydney Waratah Shield Division, U16 and Primary school competition for boys and girls</t>
  </si>
  <si>
    <t xml:space="preserve">Casual Dev Staff
Uniforms
Team travel
Medic
Referees</t>
  </si>
  <si>
    <t xml:space="preserve">New Western Sydney High School Competition (feed into Junior Clubs)</t>
  </si>
  <si>
    <t xml:space="preserve">RWC WS Comps</t>
  </si>
  <si>
    <t xml:space="preserve">6 x Schools locked in
DOs in schools</t>
  </si>
  <si>
    <t xml:space="preserve">As above</t>
  </si>
  <si>
    <t xml:space="preserve">Equipment/facility items: uniforms, field hire; coach/S&amp;C/physio hire</t>
  </si>
  <si>
    <t xml:space="preserve">Western Syd Rugby Development Centre</t>
  </si>
  <si>
    <t xml:space="preserve">* Develop a Western Sydney academy to assist pathway development
* Identify talent in Western Sydney to join Academy</t>
  </si>
  <si>
    <t xml:space="preserve">Uniforms
Field hire
Hire - coach, S&amp;C, Physio</t>
  </si>
  <si>
    <t xml:space="preserve">Regional Academy commenced 16 weeks Nov-March </t>
  </si>
  <si>
    <t xml:space="preserve">RWC WS RDC</t>
  </si>
  <si>
    <t xml:space="preserve">Regional Academy implmetned in Western Sydney</t>
  </si>
  <si>
    <t xml:space="preserve">P&amp;W core. Also equipment: "Increased access to equipment and filming resources for MOs"</t>
  </si>
  <si>
    <t xml:space="preserve">P3 Programs &amp; Workforce</t>
  </si>
  <si>
    <t xml:space="preserve">Match Official Manager</t>
  </si>
  <si>
    <t xml:space="preserve">* Appoint NSW Match Official Manager
* Lead NSW MO strategy and operational planning
* Deliver Match Official workshops and mentoring programs
* Implement MO development program
* Deliver on recruitment campaigns focused on female referees
* Promote improved sideline behaviour through ongoing education and sanction process
* Targeted recruitment focusing on recently retired players
* Club/Hub based programs to bring MO’s to younger age groups
* Increased access to equipment and filming resources for MO’s</t>
  </si>
  <si>
    <t xml:space="preserve">* MO Manager Salary
</t>
  </si>
  <si>
    <t xml:space="preserve">Appoint MO Manager</t>
  </si>
  <si>
    <t xml:space="preserve">Each game in NSW to have an appointed and accredited Match Official
Match Officials to Player ratio of 30:1 – baseline 56:1
Improve sideline and player behaviour with 25% reduction in Match Official abuse cases – baseline 73 cases
Grow accredited Match Officials by 75% - baseline of 1,281 match officials
Increase number of referees from underrepresented groups; female, Pasifika and First Nations Match Officials – baseline 106 females, 80 Pasifika and 13 First Nations Match Officials
200% growth in female match officials – baseline of 106 accredited female Match Officials</t>
  </si>
  <si>
    <t xml:space="preserve">Hunter/Newcastle RFG Manager</t>
  </si>
  <si>
    <t xml:space="preserve">* Appoint Hunter Rugby for Good General Manager
* Lead the Rugby for Good program in the Hunter
* Secure additional funding to deliver Rugby for Good activity in the -Hunter region including Rucky Tackle Life, Rugby for Good Mental Health Programs, Our Turn, Your Time Women’s program</t>
  </si>
  <si>
    <t xml:space="preserve">Hunter/Newcastle RFG Manager Salary</t>
  </si>
  <si>
    <t xml:space="preserve">Appoint Hunter/Newcastle RFG Manager</t>
  </si>
  <si>
    <t xml:space="preserve">In place </t>
  </si>
  <si>
    <t xml:space="preserve">Increase participation by 7.5% annually across all metrics – clubs, schools, coaches, match officials and administrators – baseline 3,290
Source additional revenue opportunities via Rugby for Good programs – source &gt;$100k annually
Ensure all clubs in the Hunter reach Bronze/Developing standards in the RA Club Standards program and are all legally compliant organisations
Each Hunter club to complete the RA Club Health Check annually
Each club to receive a tailored Club Action Plan</t>
  </si>
  <si>
    <t xml:space="preserve">Hunter R4G Activities</t>
  </si>
  <si>
    <t xml:space="preserve">* Club Development activity in the Hunter
* Competition and program support in the Hunter
* Deliver programs and provide opportunities that enhance, support and build rugby communities
* Complete Club Health audit for Hunter Rugby clubs
* Deliver Action Plans for each club</t>
  </si>
  <si>
    <t xml:space="preserve">Inclusion: First Nations Manager</t>
  </si>
  <si>
    <t xml:space="preserve">P4 Inclusion</t>
  </si>
  <si>
    <t xml:space="preserve">First Nations Manager</t>
  </si>
  <si>
    <t xml:space="preserve">* Appoint First Nations Development Officer
* Deliver First Nations activity in NSW (see below)</t>
  </si>
  <si>
    <t xml:space="preserve">First Nations Manager Salary</t>
  </si>
  <si>
    <t xml:space="preserve">Appoint First Nations Manager</t>
  </si>
  <si>
    <t xml:space="preserve">Deliver NSWRU Reconciliation Action Plan
Deliver 6 x Talent ID workshops annually (North Coast, Central West, Sydney Metro, South Coast, 2 x Southern Inland)
Deliver NSW First Nations Development Academy</t>
  </si>
  <si>
    <t xml:space="preserve">Inclusion: First Nations talent ID, Academy, RAP; also coach bursaries (workforce)</t>
  </si>
  <si>
    <t xml:space="preserve">First Nations Activities</t>
  </si>
  <si>
    <t xml:space="preserve">* Host regional and metro talent ID days in NSW to transition talent into high performance pathways. 
* First Nations Development Academy-Work with Lloyd McDermott Rugby to develop a First Nations Leadership program aligned with U16 boys’ and girls’ programs
* First Nations mentoring programs
* Bursary places for First Nations coaches
* Deliver NSWRU RAP</t>
  </si>
  <si>
    <t xml:space="preserve">Ella 7s</t>
  </si>
  <si>
    <t xml:space="preserve">Inclusion: Pasifika &amp; First Nations leadership; coach bursaries (workforce)</t>
  </si>
  <si>
    <t xml:space="preserve">Pasifika &amp; First Nations Leadership Activity</t>
  </si>
  <si>
    <t xml:space="preserve">* Leadership and support programs for Pasifika and First Nations people
* Work with Lloyd McDermott Rugby to develop a First Nations Leadership program aligned with U16 boys’ and girls’ programs
* First Nations mentoring programs
* Bursary places for First Nations and Pasifika coaches</t>
  </si>
  <si>
    <t xml:space="preserve">Launch yearly Pasifika Leadership program with 20+ attendees each year
Grow attendance at Pasifika Youth Cup by 50%</t>
  </si>
  <si>
    <t xml:space="preserve">Inclusion: Pasifika events &amp; leadership</t>
  </si>
  <si>
    <t xml:space="preserve">Pacificia Programs</t>
  </si>
  <si>
    <t xml:space="preserve">* Enhance existing and develop new Pasifika events and tournaments for children and adults
* Deliver Pasifika Leadership program</t>
  </si>
  <si>
    <t xml:space="preserve">Inclusion: Integrity &amp; Safeguarding Manager</t>
  </si>
  <si>
    <t xml:space="preserve">Integrity Manager</t>
  </si>
  <si>
    <t xml:space="preserve">* Appoint NSW Integrity &amp; Safeguarding manager</t>
  </si>
  <si>
    <t xml:space="preserve">Appoint Integrity Manager</t>
  </si>
  <si>
    <t xml:space="preserve">JD compiled.  Funding from third parties being finalised to complment existing pot</t>
  </si>
  <si>
    <t xml:space="preserve">All Rugby clubs in NSW compliant against RA integrity and safeguarding standards
Deliver 6 x yearly safeguarding and integrity workshops</t>
  </si>
  <si>
    <t xml:space="preserve">Inclusion: safeguarding audits &amp; training for volunteers/admins (workforce)</t>
  </si>
  <si>
    <t xml:space="preserve">Integrity Activities</t>
  </si>
  <si>
    <t xml:space="preserve">* Audit of Rugby clubs safeguarding, integrity and data management practices (RA Club Health Check)
* Identify priority clubs and areas of support following audit
* Provide additional and focused training for staff, volunteers and administrators on dealing with integrity and safeguarding matters
* Focus on compliance with National, State and local laws, regulations and policies
* Improve supporting technology to track WWCC, training completions and incident reporting via Rugby Xplorer
* Supporting materials for clubs to promote best practice e.g. posters, online materials, social media posts, etc.</t>
  </si>
  <si>
    <t xml:space="preserve">Inclusion: Female Participation Officer</t>
  </si>
  <si>
    <t xml:space="preserve">Female Participation DO</t>
  </si>
  <si>
    <t xml:space="preserve">* Appoint Female Participation Officer in NSW
* See below in Female Programs and Support</t>
  </si>
  <si>
    <t xml:space="preserve">Appoint Female Participation DO</t>
  </si>
  <si>
    <t xml:space="preserve">Casul in place </t>
  </si>
  <si>
    <t xml:space="preserve">New Female Programs and Competitions across NSW (see competition seed-funding) 
50% growth in female participation – baseline of 7,917 club players, 3,642 event players, 16,803 school participants
</t>
  </si>
  <si>
    <t xml:space="preserve">Inclusion: female programs; coach &amp; MO programs; MO FOC course + whistles/cards $3,500 (equipment)</t>
  </si>
  <si>
    <t xml:space="preserve">Female Programs and Support</t>
  </si>
  <si>
    <t xml:space="preserve">* Introductory participation programs
* New competitions
* Talent/ pathway programs
* Coach development and Match Officials programs
* Club development and support, increasing the number of women in administration and leadership positions withing NSW rugby.</t>
  </si>
  <si>
    <t xml:space="preserve">* MO FOC Course + Whistles / Cards $3500</t>
  </si>
  <si>
    <t xml:space="preserve">Inclusion: female promotion materials</t>
  </si>
  <si>
    <t xml:space="preserve">Female Marketing</t>
  </si>
  <si>
    <t xml:space="preserve">*Supporting materials for clubs to promote best practice e.g. posters, online materials, social media posts, etc.</t>
  </si>
  <si>
    <t xml:space="preserve">P&amp;W core. Also equipment: MO cards &amp; whistles for new female refs ($5k)</t>
  </si>
  <si>
    <t xml:space="preserve">Workforce Recuitment &amp; Development</t>
  </si>
  <si>
    <t xml:space="preserve">* Coach and match official education for underrepresented groups (see female, First Nations and Pasifika activity)
* Volunteer recruitment and club development programs
* Volunteer rewards and recognition programs and opportunities at the RWC 27
* Workforce recruitment for coaches, match officials and administrators
* Sustainable club activity – delivering education, training and assistance
</t>
  </si>
  <si>
    <t xml:space="preserve">* MO Cards and Whistles for all new female refs FOC $5k
* MO recruitment social media campaign $1k
* MO tickets to Waratahs Games $2k
* “The Backbone of Rugby” – NSW Volunteer Rewards &amp; Recognition Program $7,500</t>
  </si>
  <si>
    <t xml:space="preserve">RWC WF Rercruitment</t>
  </si>
  <si>
    <t xml:space="preserve">Each game in NSW to have an appointed and accredited Match Official
Match Officials to Player ratio of 30:1 – baseline 56:1
Coach to Player ratio of 10:1 – baseline 13:1
Improve sideline and player behaviour with 25% reduction in Match Official abuse cases – baseline 73 cases
Grow accredited Match Officials by 75% - baseline of 1,281 match officials
Grow accredited coaches by 50% - baseline of 3,514 coaches
Deliver yearly workforce conference with Net Promotor Score from attendees &gt; 75
Increase number of referees from underrepresented groups; female, Pasifika and First Nations Match Officials – baseline 106 females, 80 Pasifika and 13 First Nations Match Officials
Reduce churn by 1% p.a. in workforce numbers – baseline 39.5%</t>
  </si>
  <si>
    <t xml:space="preserve">P&amp;W core: workforce leadership program + NSW Match Developers Conference</t>
  </si>
  <si>
    <t xml:space="preserve">Workforce Leadership</t>
  </si>
  <si>
    <t xml:space="preserve">* Deliver yearly workforce leadership program for coaches, match officials and administrators
* Support growth and development of underrepresented groups in the workforce including Pasifika communities, First Nations and Females</t>
  </si>
  <si>
    <t xml:space="preserve">NSW Match Developers Conference $10,500
Club Admin Conference (Oct)</t>
  </si>
  <si>
    <t xml:space="preserve">Inclusion: All Abilities programs; uniforms (equipment)</t>
  </si>
  <si>
    <t xml:space="preserve">All Abilities</t>
  </si>
  <si>
    <t xml:space="preserve">* Enhance existing and develop new partnerships and programs to support people with a disability to engage in Rugby</t>
  </si>
  <si>
    <t xml:space="preserve">Support existing programs - Vivability in Bathurst, Menai, Rockdale
Casul employment All Abilities Rugby Coord to run progams in speial needs schools to attract other grant funding</t>
  </si>
  <si>
    <t xml:space="preserve">Inclusion: Pride programs</t>
  </si>
  <si>
    <t xml:space="preserve">Pride</t>
  </si>
  <si>
    <t xml:space="preserve">* Enhance existing and develop new partnerships and programs to support and celebrate the Pride community in Rugby </t>
  </si>
  <si>
    <t xml:space="preserve">Contact Andrew Purchas to determine approapriate way forward</t>
  </si>
  <si>
    <t xml:space="preserve">Workforce: MO &amp; coaching programs at RWC hubs</t>
  </si>
  <si>
    <t xml:space="preserve">P5 RWC Activation</t>
  </si>
  <si>
    <t xml:space="preserve">RWC Post-Event Hubs Delivery &amp; Management</t>
  </si>
  <si>
    <t xml:space="preserve">* RWC Event Hubs to provide Rugby opportunities during and immediately post the RWC to capture interest in the sport while it is at its peak.
This includes:
* Get into Rugby (4–7-year-olds)
* Tri Tag Rugby – non-contact version of the game suitable for 7 – 97 years of age
* Match Officials programs
* Coaching programs</t>
  </si>
  <si>
    <t xml:space="preserve">Social Over 35s RWC
Come and Try Days
International Tournament </t>
  </si>
  <si>
    <t xml:space="preserve">Deliver 20 x RWC Event Hubs during &amp; post RWC with a minimum of 50 participants. Each hub to contain:
- Get into Rugby
- Tri Tag Rugby
- Coach education
- Match Official education
RWC Event Hubs to be spread across metro &amp; regional NSW to ensure everyone has an opportunity to be involved in the Rugby World Cup.</t>
  </si>
  <si>
    <t xml:space="preserve">Equipment: giveaways (e.g. mini rugby balls)</t>
  </si>
  <si>
    <t xml:space="preserve">RWC Post-Event Hub Giveaways</t>
  </si>
  <si>
    <t xml:space="preserve">* RWC event activation will also include giveaways to prospective participants at matches and in fan-zones to drive a call to action to participate in the sport.</t>
  </si>
  <si>
    <t xml:space="preserve">PM, M&amp;E</t>
  </si>
  <si>
    <t xml:space="preserve">Monitoring &amp; Evaluation</t>
  </si>
  <si>
    <t xml:space="preserve">* Implement robust monitoring and evaluation process including key social impact measurables, impact reporting and key outcomes.</t>
  </si>
  <si>
    <t xml:space="preserve">Project Management</t>
  </si>
  <si>
    <t xml:space="preserve">* Overall day-to-day project management and oversight and delivery of the legacy program including, but not limited to:
-Lead monitoring &amp; evaluation
-Grant submission, variation, reporting, communication
-Financial management and oversight
-Central point of contact</t>
  </si>
  <si>
    <t xml:space="preserve">Jason Russell-Jones (RA) appointed to manage</t>
  </si>
  <si>
    <t xml:space="preserve">RA Funded to assist with project mgt and aqutial</t>
  </si>
  <si>
    <t xml:space="preserve">TOTAL (all rows)</t>
  </si>
  <si>
    <t xml:space="preserve">of which P3 Programs &amp; Workforce</t>
  </si>
  <si>
    <t xml:space="preserve">of which P1 Facilities &amp; Equipment</t>
  </si>
  <si>
    <t xml:space="preserve">Source: RWC Dashboard workbook, sheets "MOs" (NSW Rugby RWC Legacy Program - Referee Department) and "Volunteers". All items are Programs &amp; Workforce; equipment items flagged Both.</t>
  </si>
  <si>
    <t xml:space="preserve">Funding pool</t>
  </si>
  <si>
    <t xml:space="preserve">Activity</t>
  </si>
  <si>
    <t xml:space="preserve">Budget detail</t>
  </si>
  <si>
    <t xml:space="preserve">How</t>
  </si>
  <si>
    <t xml:space="preserve">Referee spend ($)</t>
  </si>
  <si>
    <t xml:space="preserve">Program budget ($)</t>
  </si>
  <si>
    <t xml:space="preserve">Note</t>
  </si>
  <si>
    <t xml:space="preserve">Female Program Support</t>
  </si>
  <si>
    <t xml:space="preserve">Female Match Officials</t>
  </si>
  <si>
    <t xml:space="preserve">100 x new female MOs</t>
  </si>
  <si>
    <t xml:space="preserve">100 x $20 per participant = $2,000; 100 x cards &amp; whistles x $15 = $1,500</t>
  </si>
  <si>
    <t xml:space="preserve">Target girls schools (esp. Chloe Dalton Cup); Subbies &amp; Shute Shield club courses; recently retired players</t>
  </si>
  <si>
    <t xml:space="preserve">Source text reads "100 x 420.00 per participant = $2000" - likely typo for $20</t>
  </si>
  <si>
    <t xml:space="preserve">NSW Match Official Conference</t>
  </si>
  <si>
    <t xml:space="preserve">Formal exchange program between MOs and MODs within NSW; develop MOD workforce statewide</t>
  </si>
  <si>
    <t xml:space="preserve">1 night accommodation x 20 = $3,600; return airfares x 12 = $6,000; catering x 60 = $900</t>
  </si>
  <si>
    <t xml:space="preserve">Liaise with affiliates; guest presenters (no cost); promote &amp; report outcomes</t>
  </si>
  <si>
    <t xml:space="preserve">Workforce Recruitment</t>
  </si>
  <si>
    <t xml:space="preserve">Cards and Whistles (EQUIPMENT)</t>
  </si>
  <si>
    <t xml:space="preserve">All new referees equipped to begin refereeing</t>
  </si>
  <si>
    <t xml:space="preserve">250 cards = $962.50; 250 whistles = $4,125</t>
  </si>
  <si>
    <t xml:space="preserve">Distributed to all new referees attending a Referee Ready course</t>
  </si>
  <si>
    <t xml:space="preserve">Unit costs: $3.85/card, $16.50/whistle</t>
  </si>
  <si>
    <t xml:space="preserve">Recruitment video &amp; social media campaign</t>
  </si>
  <si>
    <t xml:space="preserve">Increase accredited &amp; registered referees by 10%</t>
  </si>
  <si>
    <t xml:space="preserve">Social media boosting</t>
  </si>
  <si>
    <t xml:space="preserve">Video and flyers for distribution through the year</t>
  </si>
  <si>
    <t xml:space="preserve">Dashboard target is +75% accredited MOs over program</t>
  </si>
  <si>
    <t xml:space="preserve">Tickets to Waratahs' first home game</t>
  </si>
  <si>
    <t xml:space="preserve">Reward and recognise referees</t>
  </si>
  <si>
    <t xml:space="preserve">100 tickets x $20 = $2,000</t>
  </si>
  <si>
    <t xml:space="preserve">Tickets at 'Welcome to 2026' function at Rugby Australia</t>
  </si>
  <si>
    <t xml:space="preserve">Total referee spend</t>
  </si>
  <si>
    <t xml:space="preserve">"The Backbone of Rugby" - NSW Volunteer Rewards &amp; Recognition Program (sheet "Volunteers")</t>
  </si>
  <si>
    <t xml:space="preserve">Investment area</t>
  </si>
  <si>
    <t xml:space="preserve">Cost ($)</t>
  </si>
  <si>
    <t xml:space="preserve">Purpose</t>
  </si>
  <si>
    <t xml:space="preserve">Content Production</t>
  </si>
  <si>
    <t xml:space="preserve">Short-form videos, filming days, editing for social-first storytelling</t>
  </si>
  <si>
    <t xml:space="preserve">Design &amp; Digital Assets</t>
  </si>
  <si>
    <t xml:space="preserve">Program branding, winner tiles, certificates, club share packs</t>
  </si>
  <si>
    <t xml:space="preserve">Rewards &amp; Recognition</t>
  </si>
  <si>
    <t xml:space="preserve">Monthly recognition packs + end-of-program Honour Roll</t>
  </si>
  <si>
    <t xml:space="preserve">Program Management</t>
  </si>
  <si>
    <t xml:space="preserve">Nominations, selection, coordination, club communications</t>
  </si>
  <si>
    <t xml:space="preserve">Paid Reach &amp; Contingency</t>
  </si>
  <si>
    <t xml:space="preserve">Strategic social boosts and delivery buffer</t>
  </si>
  <si>
    <t xml:space="preserve">Total</t>
  </si>
  <si>
    <t xml:space="preserve">Sheet "Club Dev Conference" in the source workbook is empty (no data).</t>
  </si>
  <si>
    <t xml:space="preserve">Source: Program Logic - NSW Rugby World Cup Legacy.docx (Office of Sport, June 2025, DRAFT). Text condensed; F&amp;E / P&amp;W content in other pillars shown in CAPITALS.</t>
  </si>
  <si>
    <t xml:space="preserve">Pillar</t>
  </si>
  <si>
    <t xml:space="preserve">Component</t>
  </si>
  <si>
    <t xml:space="preserve">Need / problem</t>
  </si>
  <si>
    <t xml:space="preserve">Evidence</t>
  </si>
  <si>
    <t xml:space="preserve">Activities</t>
  </si>
  <si>
    <t xml:space="preserve">Outputs</t>
  </si>
  <si>
    <t xml:space="preserve">Short-term outcomes</t>
  </si>
  <si>
    <t xml:space="preserve">Medium-term outcomes</t>
  </si>
  <si>
    <t xml:space="preserve">Long-term outcomes</t>
  </si>
  <si>
    <t xml:space="preserve">P1 Infrastructure &amp; Equipment</t>
  </si>
  <si>
    <t xml:space="preserve">Facilities &amp; Infrastructure</t>
  </si>
  <si>
    <t xml:space="preserve">Many facilities below community standards: (1) lack of female facilities; (2) inadequate lighting; (3) poor accessibility for disability/cultural needs; (4) inadequate drainage &amp; irrigation amid extreme weather</t>
  </si>
  <si>
    <t xml:space="preserve">RA Infrastructure audit: 31% have female-friendly changerooms; 28% female-friendly referee rooms; 62% adequate lighting; 57% adequate drainage &amp; irrigation; 22% parent change facilities. Poor facilities a top reason females avoid sport (Sport England); 1 in 2 females cite lack of female-friendly facilities (VicHealth); facility quality a leading participation factor (NSW OoS, ASC); CSIRO/BOM project more extreme weather</t>
  </si>
  <si>
    <t xml:space="preserve">Infrastructure fund, two streams: open program for (a) female-friendly &amp; accessible facilities, (b) lighting, (c) sustainable practices e.g. drainage &amp; irrigation; priority fund for 2-3 strategic priorities</t>
  </si>
  <si>
    <t xml:space="preserve">Launch NSW Rugby Infrastructure fund; # facilities funded (lighting, changerooms, sustainable practices); # matches not impacted by rain; co-investment from councils/partners/clubs; 2 x larger-scale priority facility upgrades</t>
  </si>
  <si>
    <t xml:space="preserve">Increased investment in inadequate facilities; successful applicants begin construction</t>
  </si>
  <si>
    <t xml:space="preserve">Changing perception of rugby for females; increased female participation; clubs run more programs; fewer weather cancellations; stronger council/school relationships via shared-use agreements; diversified club revenue; greater access for people with disability</t>
  </si>
  <si>
    <t xml:space="preserve">Facilities cope with climate change; upgraded clubs become community hubs; increased female &amp; diverse representation; priority facilities host major events e.g. state carnivals</t>
  </si>
  <si>
    <t xml:space="preserve">Major Equipment</t>
  </si>
  <si>
    <t xml:space="preserve">Scrum machines, goal posts, defibrillators are crucial but cost-prohibitive; scrum is high-risk for injury</t>
  </si>
  <si>
    <t xml:space="preserve">World Rugby on scrum machines for technique; scrummaging a disproportionate share of serious injuries; clubs with modern scrum machines report more confidence &amp; better safety; player safety a leading cause of attrition (RA End of Season survey)</t>
  </si>
  <si>
    <t xml:space="preserve">Major equipment grant program for high-cost safety &amp; rugby equipment such as scrum machines</t>
  </si>
  <si>
    <t xml:space="preserve"># scrum machines &amp; major equipment distributed; # clubs &amp; schools receiving equipment; level of co-investment</t>
  </si>
  <si>
    <t xml:space="preserve">Improved safety ratings; fewer serious injuries</t>
  </si>
  <si>
    <t xml:space="preserve">Improved recruitment &amp; retention; better scrummaging technique across NSW</t>
  </si>
  <si>
    <t xml:space="preserve">Safer environment; continued reduction in injury rates; growth in contact participation</t>
  </si>
  <si>
    <t xml:space="preserve">Competition seed-funding</t>
  </si>
  <si>
    <t xml:space="preserve">Participation decline/stagnation esp. youth; start-up barriers (equipment, volunteer burden, logistics, facilities, travel); traditional formats; limited school offerings in regional NSW &amp; W. Sydney; club financial capacity</t>
  </si>
  <si>
    <t xml:space="preserve">Stagnation where no paid admin staff (RA census); ASC: modified/social formats attract diverse audiences; Tri Tag, Get into Rugby, U85kg pilots show better recruitment &amp; retention</t>
  </si>
  <si>
    <t xml:space="preserve">Seed-funding grants: new/expanded comps (regional, youth, female, inclusion, non-contact); starter kits &amp; EQUIPMENT GRANTS; operational support (technology, MOs, travel, FIELD HIRE); promotion; training for administrators. One-off or staged-decrease funding over 3 years</t>
  </si>
  <si>
    <t xml:space="preserve"># competitions supported; # clubs/schools/associations; # new &amp; retained participants; # coaches &amp; MOs; # participants in inclusion groups</t>
  </si>
  <si>
    <t xml:space="preserve">More &amp; more diverse participants; more appealing comps (EO season survey); improved local delivery capacity</t>
  </si>
  <si>
    <t xml:space="preserve">Higher retention vs pre-2025; growth in registered players; growth in volunteer base</t>
  </si>
  <si>
    <t xml:space="preserve">Financially sustainable clubs; rugby a "sport of choice"; improved community engagement</t>
  </si>
  <si>
    <t xml:space="preserve">Workforce Development &amp; Leadership</t>
  </si>
  <si>
    <t xml:space="preserve">Declining volunteers &amp; burnout; lack of training; coaches &amp; MOs critical to safety; rising governance/compliance/safeguarding burden; under-representation of women, First Nations, Pasifika</t>
  </si>
  <si>
    <t xml:space="preserve">Coaches &amp; MOs have largest impact on participant experience (RA census, ASC); volunteer decline (RA Club Health Check, ASC, National Volunteer Coalition); workforce investment boosts performance &amp; stability (NSW OoS); World Rugby on grassroots workforce</t>
  </si>
  <si>
    <t xml:space="preserve">Workforce leadership conference (coaches, MOs, administrators); coach &amp; MO education for under-represented groups; volunteer recruitment &amp; club development; volunteer rewards &amp; recognition incl. RWC 27 opportunities</t>
  </si>
  <si>
    <t xml:space="preserve">1 workforce conference p.a.; # accredited coaches, referees, administrators; Coach:Player &lt;1:10; MO:Player &lt;1:30; RA LMS usage; volunteer retention; diversity growth</t>
  </si>
  <si>
    <t xml:space="preserve">More coaches, MOs, administrators; better ratios vs 2025; better player &amp; volunteer satisfaction; fewer integrity/safeguarding issues; fewer blue cards (tackle height education)</t>
  </si>
  <si>
    <t xml:space="preserve">Higher workforce retention; better club health scores; stronger competitions</t>
  </si>
  <si>
    <t xml:space="preserve">More under-represented people in senior roles; higher participation; rugby leads in volunteer recruitment &amp; support</t>
  </si>
  <si>
    <t xml:space="preserve">Match Officials</t>
  </si>
  <si>
    <t xml:space="preserve">Not enough MOs or coaches for demand; RA targets Player:MO 30:1 and Player:Coach 10:1; attitude to referees predicts participant experience</t>
  </si>
  <si>
    <t xml:space="preserve">RA census NSW: 13:1 players to coaches; 53:1 players to MOs. RA participant satisfaction survey: attitude to MOs/coaches is greatest predictor of experience</t>
  </si>
  <si>
    <t xml:space="preserve">MO development program: MO developer program; NSW MO pathway; female referee recruitment; club/hub programs for younger MOs; school MO program; EQUIPMENT &amp; FILMING RESOURCES for MOs; continued coach development pathways</t>
  </si>
  <si>
    <t xml:space="preserve">FTE MO resources; MO recruitment; MO:Player 1:30; more under-18 MOs; more female MOs; Player:Coach 1:10</t>
  </si>
  <si>
    <t xml:space="preserve">Better support for MOs &amp; coaches; more courses; more diverse coaches &amp; MOs; improved game safety</t>
  </si>
  <si>
    <t xml:space="preserve">More diversity; elevated standards; culture change on respect for officials</t>
  </si>
  <si>
    <t xml:space="preserve">Valued, supported MO community; diverse MOs; long-term club sustainability</t>
  </si>
  <si>
    <t xml:space="preserve">Fast-growing but under-represented in playing numbers; weak club footprint (Penrith, Parramatta struggles; no footprint in Camden, Fairfield, Liverpool); no W. Syd schools competition; high CALD population</t>
  </si>
  <si>
    <t xml:space="preserve">RA &amp; Kinetica: 11 WSyd LGAs = ~30% of NSW demand but 11% of players; 75% of demand growth from Blacktown, Cumberland, Liverpool; conversion Fairfield 2.2%, Liverpool 5.9%, Canterbury-Bankstown 6.5% vs NSW 32%; &lt;25% of W. Syd within 10-min drive of a club; &gt;50% overseas-born in Fairfield/Auburn/Parramatta vs 29.3% NSW; some LGAs &gt;70% non-English at home vs 25.2% (2021 Census)</t>
  </si>
  <si>
    <t xml:space="preserve">Club development support; W. Syd Academy (specialised coaching, S&amp;C); more school programs; new competitions; new clubs in high-demand low-access areas</t>
  </si>
  <si>
    <t xml:space="preserve">Academy launch; # school &amp; club programs; # Get into Rugby hubs; # COACH DEVELOPMENT COURSES; # clubs supported/compliant; participation; # new comps; CALD participants</t>
  </si>
  <si>
    <t xml:space="preserve">Governance-compliant clubs; higher retention; more school programs</t>
  </si>
  <si>
    <t xml:space="preserve">New clubs in growth corridors; more juniors in pathways; conversion in line with NSW average; more CALD participation</t>
  </si>
  <si>
    <t xml:space="preserve">W. Syd = 30% of NSW playing population; every resident within 10-min of a club; rugby a sport of choice</t>
  </si>
  <si>
    <t xml:space="preserve">Hunter (Rugby for Good)</t>
  </si>
  <si>
    <t xml:space="preserve">Establish R4G hub in the Hunter to drive social outcomes &amp; growth</t>
  </si>
  <si>
    <t xml:space="preserve">Hunter issues: youth crime, mental health &amp; suicide above state average, coal transition (Australia Institute, ABS). R4G BCR &gt;3:1 across Tackle Life, Holiday Break, Get Talkin (Balmoral Report)</t>
  </si>
  <si>
    <t xml:space="preserve">Rugby Tackle Life; R4G Mental Health Program; Our Turn, Your Time (adolescent girls)</t>
  </si>
  <si>
    <t xml:space="preserve">Launch Hunter R4G hub; # Tackle Life, mental health, Our Turn Your Time, Holiday Camp programs</t>
  </si>
  <si>
    <t xml:space="preserve">Participation; resilience; local spend &amp; jobs</t>
  </si>
  <si>
    <t xml:space="preserve">Sustainable programs; positive health attitudes; reduced crime; mental-health awareness</t>
  </si>
  <si>
    <t xml:space="preserve">Improved health; reduced healthcare costs; fewer mental health issues &amp; suicides</t>
  </si>
  <si>
    <t xml:space="preserve">South Coast &amp; Riverina</t>
  </si>
  <si>
    <t xml:space="preserve">Declining youth participation; DECLINING QUALITY OF INFRASTRUCTURE (outdated / not fit for purpose); limited pathways esp. female; youth disengagement; under-serviced First Nations; growing Pasifika</t>
  </si>
  <si>
    <t xml:space="preserve">Riverina &gt;30% of state output; aligns with regional investment programs; growing Pasifika population (Invest Regional, NSW Planning, ABS)</t>
  </si>
  <si>
    <t xml:space="preserve">FACILITIES INVESTMENT incl. targeted investment in CONNOLLY PARK, WAGGA WAGGA; school programs &amp; regional Get into Rugby hubs (5-17 yrs); First Nations; girls pathways; MATCH OFFICIAL SUPPORT &amp; HUBS; community events tied to facilities</t>
  </si>
  <si>
    <t xml:space="preserve"># FACILITIES UPGRADED; participation (youth, women, First Nations); GiR &amp; Tri Tag programs; events; female &amp; pathway programs</t>
  </si>
  <si>
    <t xml:space="preserve">More opportunities &amp; participants (players, coaches, MOs); CONFIRMED FACILITY INVESTMENT LOCATIONS; more First Nations &amp; Pasifika</t>
  </si>
  <si>
    <t xml:space="preserve">More rep selections; sustainable program; community &amp; economic benefits</t>
  </si>
  <si>
    <t xml:space="preserve">Riverina hosts major events (e.g. RWC 29 training base, Super Rugby pre-season); Wagga hosts state carnivals</t>
  </si>
  <si>
    <t xml:space="preserve">First Nations &amp; Pasifika</t>
  </si>
  <si>
    <t xml:space="preserve">High playing share but under-represented in pathways, leadership, coaching, officiating, administration</t>
  </si>
  <si>
    <t xml:space="preserve">Pacific Island heritage 1.3% of Australians (2021), +4.5% p.a.; First Nations 3.4% of NSW; in rugby First Nations 7.5% &amp; Pasifika &gt;11% of players but only 3.8% &amp; 4.2% of non-playing roles</t>
  </si>
  <si>
    <t xml:space="preserve">Leadership programs; talent ID days; FN Development Academy; Lloyd McDermott leadership program; Pasifika events; mentoring; BURSARY PLACES FOR FN &amp; PASIFIKA COACHES</t>
  </si>
  <si>
    <t xml:space="preserve">Yearly education/leadership opps; # training sessions (coaching, MOs, admin); # bursaries; # pathway programs; 6 FN talent ID days p.a.; FN Academy incl. APPAREL, camps</t>
  </si>
  <si>
    <t xml:space="preserve">More FN &amp; Pasifika participants, COACHES AND MOs</t>
  </si>
  <si>
    <t xml:space="preserve">More FN in rep pathway; better education &amp; retention; leadership share matches playing share</t>
  </si>
  <si>
    <t xml:space="preserve">Better health &amp; social outcomes; more FN Wallabies</t>
  </si>
  <si>
    <t xml:space="preserve">Females under-represented across players, coaches, MOs</t>
  </si>
  <si>
    <t xml:space="preserve">Females = 17.3% of national participation: players 15.3%, COACHES 7.8%, MATCH OFFICIALS 11.5%, volunteers 39.3%</t>
  </si>
  <si>
    <t xml:space="preserve">Intro programs; new comps; talent/pathways; COACH &amp; MO PROGRAMS; club development for women in admin &amp; leadership</t>
  </si>
  <si>
    <t xml:space="preserve">GiR for females; new Tri Tag &amp; 7s comps; more seed-funding; Rising Star combines; ACCELERATED COACH &amp; MO DEVELOPMENT; club admin support</t>
  </si>
  <si>
    <t xml:space="preserve">GiR in schools; 2 new TTR &amp; 7s comps (Oct/Nov 25); more female MOs &amp; coaches; SUBSIDISED COACH &amp; MO COURSES</t>
  </si>
  <si>
    <t xml:space="preserve">4 hub locations; Rising Star combines; accelerated coach program; more coach educators &amp; mentors</t>
  </si>
  <si>
    <t xml:space="preserve">Sustainable female comps supported by female coaches &amp; MOs; all boards 40:40:20</t>
  </si>
  <si>
    <t xml:space="preserve">Integrity &amp; Safeguarding</t>
  </si>
  <si>
    <t xml:space="preserve">Scrutiny on child safety; inconsistent policies; compliance; reputational risk; VOLUNTEER BURDEN (WWCC, reporting, training)</t>
  </si>
  <si>
    <t xml:space="preserve">SIA: integrity breaches a leading cause of attrition; Royal Commission: community-level safeguarding training needed; parents rank safety &amp; fun top</t>
  </si>
  <si>
    <t xml:space="preserve">Club audits (RA Club Health Check); priority club support; TRAINING FOR STAFF, VOLUNTEERS &amp; ADMINISTRATORS; compliance; technology to track WWCC &amp; training (Rugby Xplorer); materials</t>
  </si>
  <si>
    <t xml:space="preserve"># Code of Conduct &amp; Judicial Officer training sessions; # committees with WWCC; # complaints resolved; player &amp; volunteer ratings; Club Health Check ratings</t>
  </si>
  <si>
    <t xml:space="preserve">Awareness; WWCC compliance; higher CHC scores; every club has a child safeguarding strategy</t>
  </si>
  <si>
    <t xml:space="preserve">Fewer breaches; better player &amp; VOLUNTEER RETENTION; recognised best practice</t>
  </si>
  <si>
    <t xml:space="preserve">Market-leading safeguarding; culture of respect</t>
  </si>
  <si>
    <t xml:space="preserve">RWC Event Activation</t>
  </si>
  <si>
    <t xml:space="preserve">RWC 27 ends after the season; must capture interest immediately</t>
  </si>
  <si>
    <t xml:space="preserve">Interest rises 2-4x during major events, returns to baseline within 6 weeks (Google search data); giveaways build connection &amp; call to action</t>
  </si>
  <si>
    <t xml:space="preserve">RWC Event Hubs: Get into Rugby (4-7), Tri Tag (7-97), MO PROGRAMS, COACHING PROGRAMS; GIVEAWAYS (mini rugby balls) at matches &amp; fan zones</t>
  </si>
  <si>
    <t xml:space="preserve">20-30 RWC Event Hubs; giveaways; every new registrant receives a new RUGBY BALL</t>
  </si>
  <si>
    <t xml:space="preserve">Emotional connection; more activity around RWC 27</t>
  </si>
  <si>
    <t xml:space="preserve">More participation across playing, COACHING AND MOs</t>
  </si>
  <si>
    <t xml:space="preserve">Long-term club sustainability</t>
  </si>
  <si>
    <t xml:space="preserve">Every KPI, baseline and target found across the Project Plan, Dashboard and Program Logic. Values in "~" are simple arithmetic on the stated baseline x target %, added for reference.</t>
  </si>
  <si>
    <t xml:space="preserve">Target</t>
  </si>
  <si>
    <t xml:space="preserve">P1 Facilities</t>
  </si>
  <si>
    <t xml:space="preserve"># facilities funded (lighting, changerooms, sustainable practices)</t>
  </si>
  <si>
    <t xml:space="preserve">20 facilities</t>
  </si>
  <si>
    <t xml:space="preserve">Matches not impacted by rain</t>
  </si>
  <si>
    <t xml:space="preserve">RA audit data</t>
  </si>
  <si>
    <t xml:space="preserve">Decrease YoY in areas with infrastructure investment</t>
  </si>
  <si>
    <t xml:space="preserve">Participation growth at funded facilities</t>
  </si>
  <si>
    <t xml:space="preserve">State &amp; national average</t>
  </si>
  <si>
    <t xml:space="preserve">Greater than state &amp; national average</t>
  </si>
  <si>
    <t xml:space="preserve">Co-investment from councils, partners, clubs</t>
  </si>
  <si>
    <t xml:space="preserve">Amount tracked (no target set)</t>
  </si>
  <si>
    <t xml:space="preserve">Larger-scale priority facility upgrades</t>
  </si>
  <si>
    <t xml:space="preserve">2 (Connolly Park, Wagga Wagga + 1 priority facility in Sydney)</t>
  </si>
  <si>
    <t xml:space="preserve">Project Plan deliverables</t>
  </si>
  <si>
    <t xml:space="preserve">P1 Equipment</t>
  </si>
  <si>
    <t xml:space="preserve">Clubs receiving large-scale equipment</t>
  </si>
  <si>
    <t xml:space="preserve">&gt;20 clubs (co-funding required; scrum machines ~$11,000 ex GST)</t>
  </si>
  <si>
    <t xml:space="preserve">31% of facilities</t>
  </si>
  <si>
    <t xml:space="preserve">Program Logic (RA Infrastructure audit)</t>
  </si>
  <si>
    <t xml:space="preserve">Female-friendly referee rooms</t>
  </si>
  <si>
    <t xml:space="preserve">28% of facilities</t>
  </si>
  <si>
    <t xml:space="preserve">Adequate lighting</t>
  </si>
  <si>
    <t xml:space="preserve">62% of facilities</t>
  </si>
  <si>
    <t xml:space="preserve">Adequate drainage &amp; irrigation</t>
  </si>
  <si>
    <t xml:space="preserve">57% of facilities</t>
  </si>
  <si>
    <t xml:space="preserve">Parent change facilities</t>
  </si>
  <si>
    <t xml:space="preserve">22% of facilities</t>
  </si>
  <si>
    <t xml:space="preserve">P1 Timeline</t>
  </si>
  <si>
    <t xml:space="preserve">Infrastructure &amp; Equipment Grants Programs (OoS SmartyGrants)</t>
  </si>
  <si>
    <t xml:space="preserve">Launch R1 end 2025; close R3 Jan 2028</t>
  </si>
  <si>
    <t xml:space="preserve">Targeted priority infrastructure (NSW)</t>
  </si>
  <si>
    <t xml:space="preserve">Venue confirmed 2025; distribution end 2026</t>
  </si>
  <si>
    <t xml:space="preserve">Targeted priority infrastructure (SNSW)</t>
  </si>
  <si>
    <t xml:space="preserve">Distribution end 2026</t>
  </si>
  <si>
    <t xml:space="preserve">P3 Seed-funding</t>
  </si>
  <si>
    <t xml:space="preserve">Competitions/programs funded</t>
  </si>
  <si>
    <t xml:space="preserve">20+ across NSW</t>
  </si>
  <si>
    <t xml:space="preserve">Participation across all metrics</t>
  </si>
  <si>
    <t xml:space="preserve">113,429 participants</t>
  </si>
  <si>
    <t xml:space="preserve">+7.5% p.a.</t>
  </si>
  <si>
    <t xml:space="preserve">Share of funding to female programs</t>
  </si>
  <si>
    <t xml:space="preserve">&gt;50%</t>
  </si>
  <si>
    <t xml:space="preserve">P3 Workforce</t>
  </si>
  <si>
    <t xml:space="preserve">Games with appointed, accredited MO</t>
  </si>
  <si>
    <t xml:space="preserve">100% of games in NSW</t>
  </si>
  <si>
    <t xml:space="preserve">Project Plan; Dashboard H8/H20</t>
  </si>
  <si>
    <t xml:space="preserve">Player:MO ratio</t>
  </si>
  <si>
    <t xml:space="preserve">56:1 (Program Logic states 53:1)</t>
  </si>
  <si>
    <t xml:space="preserve">30:1</t>
  </si>
  <si>
    <t xml:space="preserve">Project Plan; Dashboard; Program Logic</t>
  </si>
  <si>
    <t xml:space="preserve">Player:Coach ratio</t>
  </si>
  <si>
    <t xml:space="preserve">13:1</t>
  </si>
  <si>
    <t xml:space="preserve">10:1</t>
  </si>
  <si>
    <t xml:space="preserve">Project Plan; Dashboard H20</t>
  </si>
  <si>
    <t xml:space="preserve">MO abuse cases</t>
  </si>
  <si>
    <t xml:space="preserve">73 cases</t>
  </si>
  <si>
    <t xml:space="preserve">-25%</t>
  </si>
  <si>
    <t xml:space="preserve">Project Plan; Dashboard</t>
  </si>
  <si>
    <t xml:space="preserve">1,281</t>
  </si>
  <si>
    <t xml:space="preserve">+75% (~2,242)</t>
  </si>
  <si>
    <t xml:space="preserve">3,514</t>
  </si>
  <si>
    <t xml:space="preserve">+50% (~5,271)</t>
  </si>
  <si>
    <t xml:space="preserve">Workforce conference NPS</t>
  </si>
  <si>
    <t xml:space="preserve">&gt;75, yearly conference</t>
  </si>
  <si>
    <t xml:space="preserve">Under-represented MOs</t>
  </si>
  <si>
    <t xml:space="preserve">106 female, 80 Pasifika, 13 First Nations</t>
  </si>
  <si>
    <t xml:space="preserve">Increase (no % given except female)</t>
  </si>
  <si>
    <t xml:space="preserve">Workforce churn</t>
  </si>
  <si>
    <t xml:space="preserve">39.5%</t>
  </si>
  <si>
    <t xml:space="preserve">-1% p.a.</t>
  </si>
  <si>
    <t xml:space="preserve">Accredited &amp; registered referees (recruitment campaign)</t>
  </si>
  <si>
    <t xml:space="preserve">+10%</t>
  </si>
  <si>
    <t xml:space="preserve">Dashboard "MOs" sheet</t>
  </si>
  <si>
    <t xml:space="preserve">P3 Schools &amp; GiR</t>
  </si>
  <si>
    <t xml:space="preserve">Schools support &amp; Get into Rugby hubs</t>
  </si>
  <si>
    <t xml:space="preserve">5 hubs (Upper &amp; Lower South Coast, Snowy, Monaro, Riverina), min 20 participants each</t>
  </si>
  <si>
    <t xml:space="preserve">P3 Timeline</t>
  </si>
  <si>
    <t xml:space="preserve">MO Manager appointed</t>
  </si>
  <si>
    <t xml:space="preserve">Oct 2025 - status "In place"</t>
  </si>
  <si>
    <t xml:space="preserve">Project Plan; Dashboard G8</t>
  </si>
  <si>
    <t xml:space="preserve">Workforce Leadership Program &amp; Conference</t>
  </si>
  <si>
    <t xml:space="preserve">Yearly 2026, 2027, 2028</t>
  </si>
  <si>
    <t xml:space="preserve">P4 Female</t>
  </si>
  <si>
    <t xml:space="preserve">192 accredited</t>
  </si>
  <si>
    <t xml:space="preserve">+150% (~480); 50+ female coaches in development program p.a.</t>
  </si>
  <si>
    <t xml:space="preserve">106 accredited</t>
  </si>
  <si>
    <t xml:space="preserve">+200% (~318); 100 new female MOs</t>
  </si>
  <si>
    <t xml:space="preserve">Project Plan; Dashboard H8; MOs sheet</t>
  </si>
  <si>
    <t xml:space="preserve">7,917 club; 3,642 event; 16,803 school</t>
  </si>
  <si>
    <t xml:space="preserve">+50%</t>
  </si>
  <si>
    <t xml:space="preserve">Project Plan; Dashboard H17</t>
  </si>
  <si>
    <t xml:space="preserve">P2 W. Sydney</t>
  </si>
  <si>
    <t xml:space="preserve">Coaching courses (W. Syd DO)</t>
  </si>
  <si>
    <t xml:space="preserve">3 p.a.; attend club training 2 x p.a.</t>
  </si>
  <si>
    <t xml:space="preserve">Dashboard H5</t>
  </si>
  <si>
    <t xml:space="preserve">Participant churn</t>
  </si>
  <si>
    <t xml:space="preserve">48.9%</t>
  </si>
  <si>
    <t xml:space="preserve">Dashboard H4/H5</t>
  </si>
  <si>
    <t xml:space="preserve">Regular club participation</t>
  </si>
  <si>
    <t xml:space="preserve">4,729</t>
  </si>
  <si>
    <t xml:space="preserve">+2% p.a.</t>
  </si>
  <si>
    <t xml:space="preserve">Overall participation</t>
  </si>
  <si>
    <t xml:space="preserve">6,127</t>
  </si>
  <si>
    <t xml:space="preserve">Academy</t>
  </si>
  <si>
    <t xml:space="preserve">30 male + 30 female per season</t>
  </si>
  <si>
    <t xml:space="preserve">Project Plan; Dashboard H3</t>
  </si>
  <si>
    <t xml:space="preserve">Gender-balanced club boards (40:40:20)</t>
  </si>
  <si>
    <t xml:space="preserve">40% of clubs</t>
  </si>
  <si>
    <t xml:space="preserve">Increase</t>
  </si>
  <si>
    <t xml:space="preserve">Dashboard H4</t>
  </si>
  <si>
    <t xml:space="preserve">R4G hub funding</t>
  </si>
  <si>
    <t xml:space="preserve">$125k p.a.</t>
  </si>
  <si>
    <t xml:space="preserve">Dashboard H3</t>
  </si>
  <si>
    <t xml:space="preserve">P2 Hunter</t>
  </si>
  <si>
    <t xml:space="preserve">Participation (all metrics incl. coaches, MOs, admins)</t>
  </si>
  <si>
    <t xml:space="preserve">3,290</t>
  </si>
  <si>
    <t xml:space="preserve">Project Plan; Dashboard H9</t>
  </si>
  <si>
    <t xml:space="preserve">R4G revenue</t>
  </si>
  <si>
    <t xml:space="preserve">&gt;$100k p.a.</t>
  </si>
  <si>
    <t xml:space="preserve">Dashboard H9</t>
  </si>
  <si>
    <t xml:space="preserve">P4 First Nations</t>
  </si>
  <si>
    <t xml:space="preserve">Talent ID workshops</t>
  </si>
  <si>
    <t xml:space="preserve">6 p.a.</t>
  </si>
  <si>
    <t xml:space="preserve">Project Plan; Dashboard H11</t>
  </si>
  <si>
    <t xml:space="preserve">P4 Pasifika</t>
  </si>
  <si>
    <t xml:space="preserve">Leadership program</t>
  </si>
  <si>
    <t xml:space="preserve">20+ attendees p.a.; Pasifika Youth Cup attendance +50%</t>
  </si>
  <si>
    <t xml:space="preserve">Dashboard H13</t>
  </si>
  <si>
    <t xml:space="preserve">P4 Integrity</t>
  </si>
  <si>
    <t xml:space="preserve">Safeguarding &amp; integrity workshops</t>
  </si>
  <si>
    <t xml:space="preserve">6 p.a.; all clubs compliant</t>
  </si>
  <si>
    <t xml:space="preserve">Dashboard H15</t>
  </si>
  <si>
    <t xml:space="preserve">P5 RWC</t>
  </si>
  <si>
    <t xml:space="preserve">RWC Event Hubs</t>
  </si>
  <si>
    <t xml:space="preserve">20 hubs, min 50 participants (Program Logic: 20-30)</t>
  </si>
  <si>
    <t xml:space="preserve">Dashboard H24; Program Logic</t>
  </si>
  <si>
    <t xml:space="preserve">M&amp;E timeline</t>
  </si>
  <si>
    <t xml:space="preserve">2025 baseline</t>
  </si>
  <si>
    <t xml:space="preserve">Yearly check-in; final report July 2028</t>
  </si>
  <si>
    <t xml:space="preserve">Source: NSW Rugby Union Annual Report 2025 (incl. NSW Positive Rugby Foundation Impact Report and audited financial statements, year to 31 Dec 2025).</t>
  </si>
  <si>
    <t xml:space="preserve">Item</t>
  </si>
  <si>
    <t xml:space="preserve">Value / detail</t>
  </si>
  <si>
    <t xml:space="preserve">Location</t>
  </si>
  <si>
    <t xml:space="preserve">Legacy funding</t>
  </si>
  <si>
    <t xml:space="preserve">NSW Rugby World Cup Legacy Program</t>
  </si>
  <si>
    <t xml:space="preserve">$10M from NSW Government; half ($5M) to NSWRU for programs; remainder to clubs, zones &amp; affiliates for INFRASTRUCTURE UPGRADES, participation and EQUIPMENT GRANTS</t>
  </si>
  <si>
    <t xml:space="preserve">p.8, p.22</t>
  </si>
  <si>
    <t xml:space="preserve">Facilities</t>
  </si>
  <si>
    <t xml:space="preserve">Eric Tweedale Stadium</t>
  </si>
  <si>
    <t xml:space="preserve">Progress with Cumberland Council to secure increased access for club, representative, school and tournament rugby in Western Sydney</t>
  </si>
  <si>
    <t xml:space="preserve">p.22</t>
  </si>
  <si>
    <t xml:space="preserve">Facilities (NSWRU)</t>
  </si>
  <si>
    <t xml:space="preserve">Property, plant &amp; equipment (net)</t>
  </si>
  <si>
    <t xml:space="preserve">$14,818,051 (2024: $15,328,762)</t>
  </si>
  <si>
    <t xml:space="preserve">Balance sheet</t>
  </si>
  <si>
    <t xml:space="preserve">PP&amp;E breakdown (net book value)</t>
  </si>
  <si>
    <t xml:space="preserve">Building $14,763,819; plant &amp; equipment $9,160; office equipment $45,072; motor vehicles $0</t>
  </si>
  <si>
    <t xml:space="preserve">Note 9</t>
  </si>
  <si>
    <t xml:space="preserve">PP&amp;E additions 2025</t>
  </si>
  <si>
    <t xml:space="preserve">$36,214 (plant &amp; equipment $1,364; office equipment $34,850)</t>
  </si>
  <si>
    <t xml:space="preserve">PP&amp;E depreciation 2025</t>
  </si>
  <si>
    <t xml:space="preserve">$546,923 (building $399,923; plant &amp; equipment $128,840)</t>
  </si>
  <si>
    <t xml:space="preserve">Right-of-use assets</t>
  </si>
  <si>
    <t xml:space="preserve">$9,304,354 (buildings $9,293,716; plant &amp; equipment $10,637)</t>
  </si>
  <si>
    <t xml:space="preserve">Note 10</t>
  </si>
  <si>
    <t xml:space="preserve">UNSW collaboration &amp; ground lease commitments</t>
  </si>
  <si>
    <t xml:space="preserve">Within 1 yr $551,440; 1-5 yrs $2,160,000; over 5 yrs $17,280,000</t>
  </si>
  <si>
    <t xml:space="preserve">Note 18</t>
  </si>
  <si>
    <t xml:space="preserve">Property charges (corporate expense)</t>
  </si>
  <si>
    <t xml:space="preserve">$758,559 (2024: $857,414)</t>
  </si>
  <si>
    <t xml:space="preserve">Note 5</t>
  </si>
  <si>
    <t xml:space="preserve">Daceyville facilities</t>
  </si>
  <si>
    <t xml:space="preserve">Ongoing negotiations with Waratahs &amp; RA over sub-lease of Daceyville facilities (David Phillips Sports Complex)</t>
  </si>
  <si>
    <t xml:space="preserve">Note 19</t>
  </si>
  <si>
    <t xml:space="preserve">Workforce</t>
  </si>
  <si>
    <t xml:space="preserve">Coach accreditations</t>
  </si>
  <si>
    <t xml:space="preserve">+18% year on year</t>
  </si>
  <si>
    <t xml:space="preserve">Match official accreditations</t>
  </si>
  <si>
    <t xml:space="preserve">Volunteer commitment</t>
  </si>
  <si>
    <t xml:space="preserve">45% of volunteers contribute &gt;6 hours per week</t>
  </si>
  <si>
    <t xml:space="preserve">p.23</t>
  </si>
  <si>
    <t xml:space="preserve">Rugby Club Health Check</t>
  </si>
  <si>
    <t xml:space="preserve">Developed (ASC framework) &amp; rolled out; key 2026 focus areas: player recruitment, governance compliance, safeguarding</t>
  </si>
  <si>
    <t xml:space="preserve">Western Sydney Manager</t>
  </si>
  <si>
    <t xml:space="preserve">New position established with Legacy funding; Simon Kacimaiwai introduced as Head of Western Sydney</t>
  </si>
  <si>
    <t xml:space="preserve">p.14, p.22</t>
  </si>
  <si>
    <t xml:space="preserve">Lakeisha Hull appointed as inaugural First Nations Manager (Foundation-supported)</t>
  </si>
  <si>
    <t xml:space="preserve">p.14</t>
  </si>
  <si>
    <t xml:space="preserve">Rugby for Good staffing</t>
  </si>
  <si>
    <t xml:space="preserve">1 full-time Mental Health Project Coordinator; 6 new School-Based Apprentices &amp; Trainees</t>
  </si>
  <si>
    <t xml:space="preserve">p.13, p.15</t>
  </si>
  <si>
    <t xml:space="preserve">Northern Hub co-funded roles</t>
  </si>
  <si>
    <t xml:space="preserve">Mid North Coast hybrid co-funded role extended; new co-funded FT role with Far North Coast Rugby Union</t>
  </si>
  <si>
    <t xml:space="preserve">p.18</t>
  </si>
  <si>
    <t xml:space="preserve">Tractahs Forwards Development Program</t>
  </si>
  <si>
    <t xml:space="preserve">140 players and 30 coaches (Northern NSW), led by scrum coach Mike Cron</t>
  </si>
  <si>
    <t xml:space="preserve">p.13, p.18</t>
  </si>
  <si>
    <t xml:space="preserve">NSW Youth Development Program</t>
  </si>
  <si>
    <t xml:space="preserve">450 players and 60 staff; 3-night camps at 6 locations; girls teams up from 3 to 6</t>
  </si>
  <si>
    <t xml:space="preserve">Programs</t>
  </si>
  <si>
    <t xml:space="preserve">Play Our Way (women &amp; girls)</t>
  </si>
  <si>
    <t xml:space="preserve">14 girls camps, 450+ participants; Coaching the Female Conference; female-only coaching course. Super W players supported 15 girls camps</t>
  </si>
  <si>
    <t xml:space="preserve">p.22-23</t>
  </si>
  <si>
    <t xml:space="preserve">Pasifika Leadership &amp; Coaching Seminar</t>
  </si>
  <si>
    <t xml:space="preserve">Inaugural seminar delivered in Merrylands</t>
  </si>
  <si>
    <t xml:space="preserve">New competitions</t>
  </si>
  <si>
    <t xml:space="preserve">Several new Club Sevens comps (regional &amp; metro); new girls comps planned for Central Coast &amp; Central West; U12 regional competition model planned 2026 (Western Plains)</t>
  </si>
  <si>
    <t xml:space="preserve">p.16, p.22-23</t>
  </si>
  <si>
    <t xml:space="preserve">Rugby for Good programs</t>
  </si>
  <si>
    <t xml:space="preserve">6 Tackle Life programs, 760+ hrs, 177 students; 35 Get Talkin workshops; 2 Rugby in the Park; 4 Kick Start; 16 Our Turn locations</t>
  </si>
  <si>
    <t xml:space="preserve">p.13-17</t>
  </si>
  <si>
    <t xml:space="preserve">Waratahs community appearances</t>
  </si>
  <si>
    <t xml:space="preserve">Almost 500 hours; Sydney Junior Club Blitz engaged 40+ clubs</t>
  </si>
  <si>
    <t xml:space="preserve">Finance</t>
  </si>
  <si>
    <t xml:space="preserve">Community rugby expenses</t>
  </si>
  <si>
    <t xml:space="preserve">$5,806,943 (2024: $4,817,980)</t>
  </si>
  <si>
    <t xml:space="preserve">P&amp;L</t>
  </si>
  <si>
    <t xml:space="preserve">Course fees &amp; other revenue</t>
  </si>
  <si>
    <t xml:space="preserve">$541,651 (2024: $845,323)</t>
  </si>
  <si>
    <t xml:space="preserve">Note 3</t>
  </si>
  <si>
    <t xml:space="preserve">Employee benefit obligations</t>
  </si>
  <si>
    <t xml:space="preserve">$458,428 total (2024: $548,766)</t>
  </si>
  <si>
    <t xml:space="preserve">Note 14</t>
  </si>
  <si>
    <t xml:space="preserve">Recognition</t>
  </si>
  <si>
    <t xml:space="preserve">Officiating</t>
  </si>
  <si>
    <t xml:space="preserve">Ella Goldsmith officiated Women's RWC bronze medal match; John Goh Sport NSW Distinguished Long Service; James Quinn SRU Referee of the Year</t>
  </si>
  <si>
    <t xml:space="preserve">p.23, p.25</t>
  </si>
  <si>
    <t xml:space="preserve">XV club players</t>
  </si>
  <si>
    <t xml:space="preserve">38,244 (+1.1%): male 32,084, female 6,160</t>
  </si>
  <si>
    <t xml:space="preserve">7s club players</t>
  </si>
  <si>
    <t xml:space="preserve">3,167</t>
  </si>
  <si>
    <t xml:space="preserve">p.8</t>
  </si>
  <si>
    <t xml:space="preserve">Women's game growth</t>
  </si>
  <si>
    <t xml:space="preserve">+6%</t>
  </si>
  <si>
    <t xml:space="preserve">Western Sydney player participation</t>
  </si>
  <si>
    <t xml:space="preserve">+9% in 2025; 35+ players in W. Syd Player Development Centre (Concord)</t>
  </si>
  <si>
    <t xml:space="preserve">Western Plains juniors (Dubbo Hub)</t>
  </si>
  <si>
    <t xml:space="preserve">~39% YoY growth; 700+ registered juniors; new clubs Brewarrina &amp; Nyngan Juniors</t>
  </si>
  <si>
    <t xml:space="preserve">p.15-16</t>
  </si>
  <si>
    <t xml:space="preserve">Waratahs in the West gala</t>
  </si>
  <si>
    <t xml:space="preserve">150+ juniors; $25,000 from Macquarie Bank</t>
  </si>
  <si>
    <t xml:space="preserve">Competitions</t>
  </si>
  <si>
    <t xml:space="preserve">Teams</t>
  </si>
  <si>
    <t xml:space="preserve">State 7s 121 teams; State Junior Championships 211; Country Championships 20; Sydney Women's 10</t>
  </si>
  <si>
    <t xml:space="preserve">p.24</t>
  </si>
  <si>
    <t xml:space="preserve">Foundation</t>
  </si>
  <si>
    <t xml:space="preserve">Rugby for Good investment</t>
  </si>
  <si>
    <t xml:space="preserve">$918,000 in 2025 (~$1M)</t>
  </si>
  <si>
    <t xml:space="preserve">p.11, p.13</t>
  </si>
  <si>
    <t xml:space="preserve">Revenue from contracts</t>
  </si>
  <si>
    <t xml:space="preserve">$8,884,527 (2024: $8,853,826)</t>
  </si>
  <si>
    <t xml:space="preserve">Grant revenue</t>
  </si>
  <si>
    <t xml:space="preserve">$2,324,918 (2024: $3,137,457)</t>
  </si>
  <si>
    <t xml:space="preserve">Grants received in advance (deferred)</t>
  </si>
  <si>
    <t xml:space="preserve">$2,785,627 (2024: $1,000,000)</t>
  </si>
  <si>
    <t xml:space="preserve">Note 15</t>
  </si>
  <si>
    <t xml:space="preserve">RA funding / RA annual grants</t>
  </si>
  <si>
    <t xml:space="preserve">$1,978,056 revenue; RA annual grants $2,150,054</t>
  </si>
  <si>
    <t xml:space="preserve">Note 3, Note 20</t>
  </si>
  <si>
    <t xml:space="preserve">Participation fees</t>
  </si>
  <si>
    <t xml:space="preserve">$1,461,484 (2024: $1,046,819)</t>
  </si>
  <si>
    <t xml:space="preserve">Loss for the year</t>
  </si>
  <si>
    <t xml:space="preserve">($1,094,634) (2024 profit $2,382,459 incl. $3.07M subsidiary disposal gain)</t>
  </si>
  <si>
    <t xml:space="preserve">Cash</t>
  </si>
  <si>
    <t xml:space="preserve">$2,873,454 (2024: $5,179,813)</t>
  </si>
  <si>
    <t xml:space="preserve">Governance</t>
  </si>
  <si>
    <t xml:space="preserve">Plans launched</t>
  </si>
  <si>
    <t xml:space="preserve">2025-2027 Strategic Plan; inaugural Reconciliation Action Plan; MOU with Lloyd McDermott Rugby</t>
  </si>
  <si>
    <t xml:space="preserve">Media</t>
  </si>
  <si>
    <t xml:space="preserve">NSW Rugby TV</t>
  </si>
  <si>
    <t xml:space="preserve">130+ games every week</t>
  </si>
  <si>
    <t xml:space="preserve">Source: NSW Rugby Union Strategic Plan 2025-2027.</t>
  </si>
  <si>
    <t xml:space="preserve">Section</t>
  </si>
  <si>
    <t xml:space="preserve">Content</t>
  </si>
  <si>
    <t xml:space="preserve">KPI</t>
  </si>
  <si>
    <t xml:space="preserve">25% growth in NSW rugby participants by 2027</t>
  </si>
  <si>
    <t xml:space="preserve">Purpose / mission</t>
  </si>
  <si>
    <t xml:space="preserve">Support clubs, schools, volunteers and communities; make rugby a sport of choice for everyone in NSW</t>
  </si>
  <si>
    <t xml:space="preserve">Pillar 1 Great Competition Experiences</t>
  </si>
  <si>
    <t xml:space="preserve">1.1 Club Development: education &amp; support to club volunteers</t>
  </si>
  <si>
    <t xml:space="preserve">1.2 Competitions &amp; Tournaments: help administrators enhance capacity</t>
  </si>
  <si>
    <t xml:space="preserve">1.3 Match Officials: recruitment &amp; retention so every game has an accredited MO</t>
  </si>
  <si>
    <t xml:space="preserve">1.4 Women's Rugby: renew governance &amp; competition structure</t>
  </si>
  <si>
    <t xml:space="preserve">1.5 Pathways: talent identification and development</t>
  </si>
  <si>
    <t xml:space="preserve">Pillar 2 Growth &amp; Engagement</t>
  </si>
  <si>
    <t xml:space="preserve">2.1 Develop Workforce: build staff skills and increase community rugby headcount</t>
  </si>
  <si>
    <t xml:space="preserve">2.2 Western Sydney: drive the Western Sydney Plan</t>
  </si>
  <si>
    <t xml:space="preserve">2.3 Women &amp; Girls: grow and create competitions</t>
  </si>
  <si>
    <t xml:space="preserve">2.4 Coaches: quality coach education to grow coach numbers and skills</t>
  </si>
  <si>
    <t xml:space="preserve">2.5 Match Officials: grow &amp; develop MO community via education &amp; support</t>
  </si>
  <si>
    <t xml:space="preserve">2.6 Facilities: comprehensive facilities strategy &amp; prioritisation plan to maximise RWC legacy funding</t>
  </si>
  <si>
    <t xml:space="preserve">2.7 Rugby for Good: expand the number of hubs</t>
  </si>
  <si>
    <t xml:space="preserve">Pillar 3 Sustainable Future</t>
  </si>
  <si>
    <t xml:space="preserve">3.1 Corporate partnerships; 3.2 NSW Rugby TV; 3.3 Donors; 3.4 Government &amp; grants; 3.5 Promote the game</t>
  </si>
  <si>
    <t xml:space="preserve">Key pillar statement</t>
  </si>
  <si>
    <t xml:space="preserve">Growth &amp; Engagement: recruitment &amp; retention programs connecting players, coaches, match officials and volunteers to clubs and schools</t>
  </si>
  <si>
    <t xml:space="preserve">Values</t>
  </si>
  <si>
    <t xml:space="preserve">Respect, Accountability, Unity, Inclusion, Positivity</t>
  </si>
  <si>
    <t xml:space="preserve">Guiding principle</t>
  </si>
  <si>
    <t xml:space="preserve">Every dollar invested should have a measurable positive impact; pathways must guide players, coaches and officials from grassroots to elite</t>
  </si>
  <si>
    <t xml:space="preserve">Sources: NSW Treasury Evaluation Guidelines TPG22-22 (revised June 2025); NSW Treasury Evidence Bank Annual Insights Report (July 2026).</t>
  </si>
  <si>
    <t xml:space="preserve">Topic</t>
  </si>
  <si>
    <t xml:space="preserve">Data / requirement</t>
  </si>
  <si>
    <t xml:space="preserve">Relevance</t>
  </si>
  <si>
    <t xml:space="preserve">TPG22-22</t>
  </si>
  <si>
    <t xml:space="preserve">Capital infrastructure evaluation</t>
  </si>
  <si>
    <t xml:space="preserve">Evaluate all Tier 1 &amp; 2 capital infrastructure initiatives and a sample of Tier 3 &amp; 4 for outcomes, net social benefit and value for money</t>
  </si>
  <si>
    <t xml:space="preserve">Applies to the infrastructure grants and priority facility upgrades</t>
  </si>
  <si>
    <t xml:space="preserve">M&amp;E plan threshold</t>
  </si>
  <si>
    <t xml:space="preserve">Submissions of $10M+ need a high-level M&amp;E plan; initiatives over $10M should give evidence of costs, outcomes and benefits</t>
  </si>
  <si>
    <t xml:space="preserve">The Legacy Program is $10M</t>
  </si>
  <si>
    <t xml:space="preserve">Evaluation scale</t>
  </si>
  <si>
    <t xml:space="preserve">Scale C: under ~$50M, low-moderate risk; internal or mixed evaluation; funded from program budget. Scale B above $50M</t>
  </si>
  <si>
    <t xml:space="preserve">Program likely sits at Scale C</t>
  </si>
  <si>
    <t xml:space="preserve">Mandatory evaluation criteria</t>
  </si>
  <si>
    <t xml:space="preserve">Implementation; appropriateness; efficiency; effectiveness; distribution of outcomes &amp; equity; net social benefit &amp; value for money</t>
  </si>
  <si>
    <t xml:space="preserve">Framework should cover all six for each pillar</t>
  </si>
  <si>
    <t xml:space="preserve">Evaluation types</t>
  </si>
  <si>
    <t xml:space="preserve">Process (inputs, activities, outputs), outcome (causal links), economic (CBA; supplementary methods where benefits cannot be monetised)</t>
  </si>
  <si>
    <t xml:space="preserve">Publication</t>
  </si>
  <si>
    <t xml:space="preserve">Agencies must publicly release evaluation findings unless overriding public interest against</t>
  </si>
  <si>
    <t xml:space="preserve">Related instruments</t>
  </si>
  <si>
    <t xml:space="preserve">CBA Guide TPG23-08; Business Case TPG24-29; Benefits Management TPG24-31; Gateway TPG22-12; First Nations Investment Framework TPG24-28</t>
  </si>
  <si>
    <t xml:space="preserve">Evidence Bank 2026</t>
  </si>
  <si>
    <t xml:space="preserve">NSW evaluations 2024-25</t>
  </si>
  <si>
    <t xml:space="preserve">117 completed ($22.6b); 188 in progress ($13.5b)</t>
  </si>
  <si>
    <t xml:space="preserve">Share including economic evaluation</t>
  </si>
  <si>
    <t xml:space="preserve">Down from 25% (2023-24) to 15% (2024-25)</t>
  </si>
  <si>
    <t xml:space="preserve">Share publicly available</t>
  </si>
  <si>
    <t xml:space="preserve">Down from 41% to 21%</t>
  </si>
  <si>
    <t xml:space="preserve">Tools</t>
  </si>
  <si>
    <t xml:space="preserve">Rapid CBA Tool; Outcomes Values Database; EMPLOYMENT CALCULATOR (jobs supported); DCJ Benefits Database; choice-modelling note; logic-model / M&amp;E technical notes &amp; templates (Dec 2025)</t>
  </si>
  <si>
    <t xml:space="preserve">Employment calculator suits facility construction jobs and new workforce roles</t>
  </si>
  <si>
    <t xml:space="preserve">Clontarf Foundation (sport-based program)</t>
  </si>
  <si>
    <t xml:space="preserve">BCR 1.01; mentoring &amp; role-models model; recommended more support for girls; data insufficient to count justice/health benefits</t>
  </si>
  <si>
    <t xml:space="preserve">Comparable to R4G, FN &amp; female programs</t>
  </si>
  <si>
    <t xml:space="preserve">Bushfire recovery evaluation</t>
  </si>
  <si>
    <t xml:space="preserve">Recommendations incl. retaining &amp; transferring workforce capability; designing data collection upfront</t>
  </si>
  <si>
    <t xml:space="preserve">Lessons for workforce &amp; M&amp;E design</t>
  </si>
  <si>
    <t xml:space="preserve">Other examples</t>
  </si>
  <si>
    <t xml:space="preserve">Targeted Earlier Intervention BCR 0.51; OCHRE local decision-making; COVID business support ($10.7b; JobSaver saved ~11,000 businesses)</t>
  </si>
  <si>
    <t xml:space="preserve">Cross-checks between the files.</t>
  </si>
  <si>
    <t xml:space="preserve">Finding</t>
  </si>
  <si>
    <t xml:space="preserve">Gap</t>
  </si>
  <si>
    <t xml:space="preserve">The RWC Dashboard has no Pillar 1 Facilities &amp; Equipment rows, no budget, no status and no performance measures. F&amp;E targets exist only in the Project Plan and Program Logic.</t>
  </si>
  <si>
    <t xml:space="preserve">The $10M split in the Annual Report (half to NSWRU, rest to clubs/zones/affiliates for infrastructure &amp; equipment) suggests about $5M F&amp;E/grant money outside the dashboard. The allocation between infrastructure, equipment and seed-funding grants is not stated.</t>
  </si>
  <si>
    <t xml:space="preserve">Dashboard budgets total $3.54M over 3 years (see Summary), below the ~$5M NSWRU share of the $10M. The difference may be co-funding, ACT/SNSWRU items or unallocated funds; the files do not say.</t>
  </si>
  <si>
    <t xml:space="preserve">No baseline for "matches impacted by rain" or equipment ownership (e.g. scrum machines per club) in the files; RA audit data referenced but not provided.</t>
  </si>
  <si>
    <t xml:space="preserve">Status</t>
  </si>
  <si>
    <t xml:space="preserve">Priority infrastructure venue was due for confirmation in 2025; Connolly Park (Wagga Wagga) is named but the Sydney priority facility isn't. Eric Tweedale Stadium access (Cumberland Council) may be relevant.</t>
  </si>
  <si>
    <t xml:space="preserve">Competition Seed-Funding Grants Program (Pillar 3, OoS SmartyGrants) and Schools Rugby &amp; Get into Rugby Activations (ACT/SNSWRU) are in the Project Plan but not on the dashboard.</t>
  </si>
  <si>
    <t xml:space="preserve">Inconsistency</t>
  </si>
  <si>
    <t xml:space="preserve">Player:MO baseline is 56:1 in Dashboard &amp; Project Plan but 53:1 in Program Logic.</t>
  </si>
  <si>
    <t xml:space="preserve">MOs sheet budget text "100 x 420.00 per participant = $2000" does not compute; $20 x 100 = $2,000 fits the total.</t>
  </si>
  <si>
    <t xml:space="preserve">MOs sheet recruitment outcome "+10% accredited referees" versus dashboard target "+75% accredited MOs" (the 10% may be an annual step).</t>
  </si>
  <si>
    <t xml:space="preserve">Progress</t>
  </si>
  <si>
    <t xml:space="preserve">Annual Report: coach &amp; MO accreditations +18% YoY in 2025. From the 1,281 / 3,514 baselines that is about 1,512 MOs and 4,147 coaches, if the baselines are the 2024 figures (not confirmed).</t>
  </si>
  <si>
    <t xml:space="preserve">Budget</t>
  </si>
  <si>
    <t xml:space="preserve">Programs &amp; Workforce dashboard lines (MO Manager, Workforce Recruitment &amp; Development, Workforce Leadership) total is shown on the Summary sheet. Identified MO spend on the MOs sheet is $22,087.50 against $40K-$60K program pools.</t>
  </si>
  <si>
    <t xml:space="preserve">RWC Event Hubs: 20 hubs (Dashboard, Project Plan) vs 20-30 (Program Logic).</t>
  </si>
  <si>
    <t xml:space="preserve">Female participation target +50% vs Annual Report women's growth +6% in 2025; female XV club players 6,160 vs 7,917 baseline 'club players' (definitions may differ).</t>
  </si>
  <si>
    <t xml:space="preserve">Western Sydney participation +9% in 2025 (target +7.5% p.a.); Player Development Centre 35+ players vs 60 target.</t>
  </si>
  <si>
    <t xml:space="preserve">Data quality</t>
  </si>
  <si>
    <t xml:space="preserve">Dashboard rows 10, 12-14, 16, 19, 25 have no budget items/code/status; row 25 (giveaways) and row 23 (Pride) have minimal detail. "Club Dev Conference" sheet is empty.</t>
  </si>
</sst>
</file>

<file path=xl/styles.xml><?xml version="1.0" encoding="utf-8"?>
<styleSheet xmlns="http://schemas.openxmlformats.org/spreadsheetml/2006/main">
  <numFmts count="9">
    <numFmt numFmtId="164" formatCode="General"/>
    <numFmt numFmtId="165" formatCode="\$#,##0"/>
    <numFmt numFmtId="166" formatCode="\$#,##0.00"/>
    <numFmt numFmtId="167" formatCode="0.0%"/>
    <numFmt numFmtId="168" formatCode="0.00\x"/>
    <numFmt numFmtId="169" formatCode="#,##0"/>
    <numFmt numFmtId="170" formatCode="0%"/>
    <numFmt numFmtId="171" formatCode="#,##0.00"/>
    <numFmt numFmtId="172" formatCode="\$#,##0;&quot;($&quot;#,##0\);\-"/>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name val="Arial"/>
      <family val="0"/>
      <charset val="1"/>
    </font>
    <font>
      <b val="true"/>
      <sz val="11"/>
      <name val="Arial"/>
      <family val="0"/>
      <charset val="1"/>
    </font>
    <font>
      <b val="true"/>
      <sz val="10"/>
      <name val="Arial"/>
      <family val="0"/>
      <charset val="1"/>
    </font>
    <font>
      <sz val="10"/>
      <name val="Arial"/>
      <family val="0"/>
      <charset val="1"/>
    </font>
    <font>
      <sz val="10"/>
      <color rgb="FF008000"/>
      <name val="Arial"/>
      <family val="0"/>
      <charset val="1"/>
    </font>
    <font>
      <b val="true"/>
      <sz val="12"/>
      <color rgb="FF1F3864"/>
      <name val="Arial"/>
      <family val="0"/>
      <charset val="1"/>
    </font>
    <font>
      <b val="true"/>
      <sz val="10"/>
      <color rgb="FFFFFFFF"/>
      <name val="Arial"/>
      <family val="0"/>
      <charset val="1"/>
    </font>
    <font>
      <sz val="9"/>
      <name val="Arial"/>
      <family val="0"/>
      <charset val="1"/>
    </font>
    <font>
      <sz val="9"/>
      <color rgb="FF008000"/>
      <name val="Arial"/>
      <family val="0"/>
      <charset val="1"/>
    </font>
    <font>
      <b val="true"/>
      <sz val="9"/>
      <name val="Arial"/>
      <family val="0"/>
      <charset val="1"/>
    </font>
    <font>
      <sz val="9"/>
      <color rgb="FF0000FF"/>
      <name val="Arial"/>
      <family val="0"/>
      <charset val="1"/>
    </font>
    <font>
      <sz val="9"/>
      <color rgb="FF000000"/>
      <name val="Arial"/>
      <family val="0"/>
      <charset val="1"/>
    </font>
    <font>
      <i val="true"/>
      <sz val="9"/>
      <color rgb="FF595959"/>
      <name val="Arial"/>
      <family val="0"/>
      <charset val="1"/>
    </font>
    <font>
      <b val="true"/>
      <sz val="11"/>
      <color rgb="FF1F3864"/>
      <name val="Arial"/>
      <family val="0"/>
      <charset val="1"/>
    </font>
    <font>
      <sz val="10"/>
      <name val="Arial"/>
      <family val="2"/>
    </font>
  </fonts>
  <fills count="8">
    <fill>
      <patternFill patternType="none"/>
    </fill>
    <fill>
      <patternFill patternType="gray125"/>
    </fill>
    <fill>
      <patternFill patternType="solid">
        <fgColor rgb="FFFCD5B4"/>
        <bgColor rgb="FFFFF2CC"/>
      </patternFill>
    </fill>
    <fill>
      <patternFill patternType="solid">
        <fgColor rgb="FFC6EFCE"/>
        <bgColor rgb="FFCCFFFF"/>
      </patternFill>
    </fill>
    <fill>
      <patternFill patternType="solid">
        <fgColor rgb="FFBDD7EE"/>
        <bgColor rgb="FFC6EFCE"/>
      </patternFill>
    </fill>
    <fill>
      <patternFill patternType="solid">
        <fgColor rgb="FFE4DFEC"/>
        <bgColor rgb="FFBDD7EE"/>
      </patternFill>
    </fill>
    <fill>
      <patternFill patternType="solid">
        <fgColor rgb="FFFFF2CC"/>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5" fontId="13" fillId="2" borderId="1" xfId="0" applyFont="true" applyBorder="true" applyAlignment="true" applyProtection="false">
      <alignment horizontal="general" vertical="top" textRotation="0" wrapText="true" indent="0" shrinkToFit="false"/>
      <protection locked="true" hidden="false"/>
    </xf>
    <xf numFmtId="165" fontId="12" fillId="2" borderId="1" xfId="0" applyFont="true" applyBorder="true" applyAlignment="true" applyProtection="false">
      <alignment horizontal="general" vertical="top" textRotation="0" wrapText="true" indent="0" shrinkToFit="false"/>
      <protection locked="true" hidden="false"/>
    </xf>
    <xf numFmtId="167" fontId="12" fillId="2"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general" vertical="top" textRotation="0" wrapText="true" indent="0" shrinkToFit="false"/>
      <protection locked="true" hidden="false"/>
    </xf>
    <xf numFmtId="165" fontId="12" fillId="3" borderId="1" xfId="0" applyFont="true" applyBorder="true" applyAlignment="true" applyProtection="false">
      <alignment horizontal="general" vertical="top" textRotation="0" wrapText="true" indent="0" shrinkToFit="false"/>
      <protection locked="true" hidden="false"/>
    </xf>
    <xf numFmtId="167" fontId="12" fillId="3"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5" fontId="13" fillId="5" borderId="1" xfId="0" applyFont="true" applyBorder="true" applyAlignment="true" applyProtection="false">
      <alignment horizontal="general" vertical="top" textRotation="0" wrapText="true" indent="0" shrinkToFit="false"/>
      <protection locked="true" hidden="false"/>
    </xf>
    <xf numFmtId="165" fontId="12" fillId="5" borderId="1" xfId="0" applyFont="true" applyBorder="true" applyAlignment="true" applyProtection="false">
      <alignment horizontal="general" vertical="top" textRotation="0" wrapText="true" indent="0" shrinkToFit="false"/>
      <protection locked="true" hidden="false"/>
    </xf>
    <xf numFmtId="167" fontId="12" fillId="5"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3" fillId="0" borderId="1"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14" fillId="0" borderId="1" xfId="0" applyFont="true" applyBorder="true" applyAlignment="true" applyProtection="false">
      <alignment horizontal="general" vertical="top" textRotation="0" wrapText="true" indent="0" shrinkToFit="false"/>
      <protection locked="true" hidden="false"/>
    </xf>
    <xf numFmtId="167" fontId="14" fillId="0" borderId="1" xfId="0" applyFont="true" applyBorder="true" applyAlignment="true" applyProtection="false">
      <alignment horizontal="general" vertical="top" textRotation="0" wrapText="true" indent="0" shrinkToFit="false"/>
      <protection locked="true" hidden="false"/>
    </xf>
    <xf numFmtId="165" fontId="15" fillId="2" borderId="1" xfId="0" applyFont="true" applyBorder="true" applyAlignment="true" applyProtection="false">
      <alignment horizontal="general" vertical="top" textRotation="0" wrapText="true" indent="0" shrinkToFit="false"/>
      <protection locked="true" hidden="false"/>
    </xf>
    <xf numFmtId="168" fontId="12" fillId="2" borderId="1" xfId="0" applyFont="true" applyBorder="true" applyAlignment="true" applyProtection="false">
      <alignment horizontal="general" vertical="top" textRotation="0" wrapText="true" indent="0" shrinkToFit="false"/>
      <protection locked="true" hidden="false"/>
    </xf>
    <xf numFmtId="169" fontId="15" fillId="3" borderId="1" xfId="0" applyFont="true" applyBorder="true" applyAlignment="true" applyProtection="false">
      <alignment horizontal="general" vertical="top" textRotation="0" wrapText="true" indent="0" shrinkToFit="false"/>
      <protection locked="true" hidden="false"/>
    </xf>
    <xf numFmtId="170" fontId="15" fillId="3" borderId="1" xfId="0" applyFont="true" applyBorder="true" applyAlignment="true" applyProtection="false">
      <alignment horizontal="general" vertical="top" textRotation="0" wrapText="true" indent="0" shrinkToFit="false"/>
      <protection locked="true" hidden="false"/>
    </xf>
    <xf numFmtId="167" fontId="15" fillId="3" borderId="1" xfId="0" applyFont="true" applyBorder="true" applyAlignment="true" applyProtection="false">
      <alignment horizontal="general" vertical="top" textRotation="0" wrapText="true" indent="0" shrinkToFit="false"/>
      <protection locked="true" hidden="false"/>
    </xf>
    <xf numFmtId="169" fontId="15" fillId="5" borderId="1" xfId="0" applyFont="true" applyBorder="true" applyAlignment="true" applyProtection="false">
      <alignment horizontal="general" vertical="top" textRotation="0" wrapText="true" indent="0" shrinkToFit="false"/>
      <protection locked="true" hidden="false"/>
    </xf>
    <xf numFmtId="170" fontId="15" fillId="5" borderId="1" xfId="0" applyFont="true" applyBorder="true" applyAlignment="true" applyProtection="false">
      <alignment horizontal="general" vertical="top" textRotation="0" wrapText="true" indent="0" shrinkToFit="false"/>
      <protection locked="true" hidden="false"/>
    </xf>
    <xf numFmtId="167" fontId="15" fillId="5"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9" fontId="15" fillId="0" borderId="1" xfId="0" applyFont="true" applyBorder="true" applyAlignment="true" applyProtection="false">
      <alignment horizontal="general" vertical="top" textRotation="0" wrapText="true" indent="0" shrinkToFit="false"/>
      <protection locked="true" hidden="false"/>
    </xf>
    <xf numFmtId="167" fontId="15" fillId="0" borderId="1" xfId="0" applyFont="true" applyBorder="true" applyAlignment="true" applyProtection="false">
      <alignment horizontal="general" vertical="top" textRotation="0" wrapText="true" indent="0" shrinkToFit="false"/>
      <protection locked="true" hidden="false"/>
    </xf>
    <xf numFmtId="170" fontId="15" fillId="0" borderId="1" xfId="0" applyFont="true" applyBorder="true" applyAlignment="true" applyProtection="false">
      <alignment horizontal="general" vertical="top" textRotation="0" wrapText="true" indent="0" shrinkToFit="false"/>
      <protection locked="true" hidden="false"/>
    </xf>
    <xf numFmtId="171" fontId="16" fillId="3" borderId="1" xfId="0" applyFont="true" applyBorder="true" applyAlignment="true" applyProtection="false">
      <alignment horizontal="general" vertical="top" textRotation="0" wrapText="true" indent="0" shrinkToFit="false"/>
      <protection locked="true" hidden="false"/>
    </xf>
    <xf numFmtId="169" fontId="15" fillId="2" borderId="1" xfId="0" applyFont="true" applyBorder="true" applyAlignment="true" applyProtection="false">
      <alignment horizontal="general" vertical="top" textRotation="0" wrapText="true" indent="0" shrinkToFit="false"/>
      <protection locked="true" hidden="false"/>
    </xf>
    <xf numFmtId="171" fontId="15" fillId="3" borderId="1" xfId="0" applyFont="true" applyBorder="true" applyAlignment="true" applyProtection="false">
      <alignment horizontal="general" vertical="top" textRotation="0" wrapText="true" indent="0" shrinkToFit="false"/>
      <protection locked="true" hidden="false"/>
    </xf>
    <xf numFmtId="171" fontId="15" fillId="5" borderId="1" xfId="0" applyFont="true" applyBorder="true" applyAlignment="true" applyProtection="false">
      <alignment horizontal="general" vertical="top" textRotation="0" wrapText="true" indent="0" shrinkToFit="false"/>
      <protection locked="true" hidden="false"/>
    </xf>
    <xf numFmtId="171" fontId="15"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9" fontId="12" fillId="0" borderId="1" xfId="0" applyFont="true" applyBorder="true" applyAlignment="true" applyProtection="false">
      <alignment horizontal="general" vertical="top" textRotation="0" wrapText="true" indent="0" shrinkToFit="false"/>
      <protection locked="true" hidden="false"/>
    </xf>
    <xf numFmtId="170" fontId="12"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2" fontId="12" fillId="0"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72" fontId="12" fillId="6"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72" fontId="12" fillId="4" borderId="1" xfId="0" applyFont="true" applyBorder="true" applyAlignment="true" applyProtection="false">
      <alignment horizontal="general" vertical="top" textRotation="0" wrapText="true" indent="0" shrinkToFit="false"/>
      <protection locked="true" hidden="false"/>
    </xf>
    <xf numFmtId="172" fontId="12" fillId="5" borderId="1" xfId="0" applyFont="true" applyBorder="true" applyAlignment="true" applyProtection="false">
      <alignment horizontal="general" vertical="top" textRotation="0" wrapText="true" indent="0" shrinkToFit="false"/>
      <protection locked="true" hidden="false"/>
    </xf>
    <xf numFmtId="172" fontId="12" fillId="3" borderId="1" xfId="0" applyFont="true" applyBorder="true" applyAlignment="true" applyProtection="false">
      <alignment horizontal="general" vertical="top" textRotation="0" wrapText="true" indent="0" shrinkToFit="false"/>
      <protection locked="true" hidden="false"/>
    </xf>
    <xf numFmtId="166" fontId="12" fillId="3" borderId="1" xfId="0" applyFont="true" applyBorder="true" applyAlignment="true" applyProtection="false">
      <alignment horizontal="general" vertical="top" textRotation="0" wrapText="true" indent="0" shrinkToFit="false"/>
      <protection locked="true" hidden="false"/>
    </xf>
    <xf numFmtId="166" fontId="12" fillId="4" borderId="1" xfId="0" applyFont="true" applyBorder="true" applyAlignment="true" applyProtection="false">
      <alignment horizontal="general" vertical="top" textRotation="0" wrapText="true" indent="0" shrinkToFit="false"/>
      <protection locked="true" hidden="false"/>
    </xf>
    <xf numFmtId="165" fontId="12" fillId="4" borderId="1" xfId="0" applyFont="true" applyBorder="true" applyAlignment="true" applyProtection="false">
      <alignment horizontal="general" vertical="top" textRotation="0" wrapText="tru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C6EFCE"/>
          <bgColor rgb="FF000000"/>
        </patternFill>
      </fill>
    </dxf>
    <dxf>
      <fill>
        <patternFill patternType="solid">
          <fgColor rgb="FFE4DFEC"/>
          <bgColor rgb="FF000000"/>
        </patternFill>
      </fill>
    </dxf>
    <dxf>
      <fill>
        <patternFill patternType="solid">
          <fgColor rgb="FFFCD5B4"/>
          <bgColor rgb="FF000000"/>
        </patternFill>
      </fill>
    </dxf>
    <dxf>
      <fill>
        <patternFill patternType="solid">
          <fgColor rgb="FFFFFFFF"/>
          <bgColor rgb="FF000000"/>
        </patternFill>
      </fill>
    </dxf>
    <dxf>
      <fill>
        <patternFill patternType="solid">
          <bgColor rgb="FF000000"/>
        </patternFill>
      </fill>
    </dxf>
    <dxf>
      <fill>
        <patternFill patternType="solid">
          <fgColor rgb="FFBDD7EE"/>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DFEC"/>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CD5B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2"/>
    <col collapsed="false" customWidth="true" hidden="false" outlineLevel="0" max="3" min="3"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6" t="s">
        <v>5</v>
      </c>
      <c r="B6" s="5" t="s">
        <v>6</v>
      </c>
    </row>
    <row r="7" customFormat="false" ht="15" hidden="false" customHeight="false" outlineLevel="0" collapsed="false">
      <c r="A7" s="7" t="s">
        <v>7</v>
      </c>
      <c r="B7" s="5" t="s">
        <v>8</v>
      </c>
    </row>
    <row r="8" customFormat="false" ht="15" hidden="false" customHeight="false" outlineLevel="0" collapsed="false">
      <c r="A8" s="8" t="s">
        <v>9</v>
      </c>
      <c r="B8" s="5" t="s">
        <v>10</v>
      </c>
    </row>
    <row r="9" customFormat="false" ht="15" hidden="false" customHeight="false" outlineLevel="0" collapsed="false">
      <c r="A9" s="9" t="s">
        <v>11</v>
      </c>
      <c r="B9" s="5" t="s">
        <v>12</v>
      </c>
    </row>
    <row r="11" customFormat="false" ht="15" hidden="false" customHeight="false" outlineLevel="0" collapsed="false">
      <c r="A11" s="3" t="s">
        <v>13</v>
      </c>
    </row>
    <row r="12" customFormat="false" ht="15" hidden="false" customHeight="false" outlineLevel="0" collapsed="false">
      <c r="A12" s="10" t="s">
        <v>14</v>
      </c>
      <c r="B12" s="11" t="n">
        <f aca="false">'Dashboard (all rows)'!I28</f>
        <v>3537000</v>
      </c>
      <c r="C12" s="10" t="s">
        <v>15</v>
      </c>
    </row>
    <row r="13" customFormat="false" ht="15" hidden="false" customHeight="false" outlineLevel="0" collapsed="false">
      <c r="A13" s="12" t="s">
        <v>16</v>
      </c>
      <c r="B13" s="11" t="n">
        <f aca="false">'Dashboard (all rows)'!I29</f>
        <v>450000</v>
      </c>
      <c r="C13" s="10" t="s">
        <v>17</v>
      </c>
    </row>
    <row r="14" customFormat="false" ht="15" hidden="false" customHeight="false" outlineLevel="0" collapsed="false">
      <c r="A14" s="13" t="s">
        <v>18</v>
      </c>
      <c r="B14" s="11" t="n">
        <f aca="false">'Dashboard (all rows)'!I30</f>
        <v>0</v>
      </c>
      <c r="C14" s="10" t="s">
        <v>19</v>
      </c>
    </row>
    <row r="15" customFormat="false" ht="15" hidden="false" customHeight="false" outlineLevel="0" collapsed="false">
      <c r="A15" s="12" t="s">
        <v>20</v>
      </c>
      <c r="B15" s="14" t="n">
        <f aca="false">'MO &amp; Volunteer budgets'!G8</f>
        <v>22087.5</v>
      </c>
      <c r="C15" s="10" t="s">
        <v>21</v>
      </c>
    </row>
    <row r="16" customFormat="false" ht="15" hidden="false" customHeight="false" outlineLevel="0" collapsed="false">
      <c r="A16" s="12" t="s">
        <v>22</v>
      </c>
      <c r="B16" s="14" t="n">
        <f aca="false">'MO &amp; Volunteer budgets'!C17</f>
        <v>7500</v>
      </c>
      <c r="C16" s="10" t="s">
        <v>23</v>
      </c>
    </row>
    <row r="17" customFormat="false" ht="23.85" hidden="false" customHeight="false" outlineLevel="0" collapsed="false">
      <c r="A17" s="13" t="s">
        <v>24</v>
      </c>
      <c r="B17" s="10" t="s">
        <v>25</v>
      </c>
      <c r="C17" s="10" t="s">
        <v>26</v>
      </c>
    </row>
    <row r="18" customFormat="false" ht="35.05" hidden="false" customHeight="false" outlineLevel="0" collapsed="false">
      <c r="A18" s="13" t="s">
        <v>27</v>
      </c>
      <c r="B18" s="10" t="s">
        <v>28</v>
      </c>
      <c r="C18" s="10" t="s">
        <v>29</v>
      </c>
    </row>
    <row r="19" customFormat="false" ht="15" hidden="false" customHeight="false" outlineLevel="0" collapsed="false">
      <c r="A19" s="12" t="s">
        <v>30</v>
      </c>
      <c r="B19" s="10" t="s">
        <v>31</v>
      </c>
      <c r="C19" s="10" t="s">
        <v>32</v>
      </c>
    </row>
    <row r="20" customFormat="false" ht="15" hidden="false" customHeight="false" outlineLevel="0" collapsed="false">
      <c r="A20" s="15" t="s">
        <v>33</v>
      </c>
      <c r="B20" s="11" t="n">
        <f aca="false">SUMIFS('Dashboard (all rows)'!I3:I27,'Dashboard (all rows)'!C3:C27,"P4 Inclusion")</f>
        <v>1167000</v>
      </c>
      <c r="C20" s="10" t="s">
        <v>34</v>
      </c>
    </row>
    <row r="24" customFormat="false" ht="15" hidden="false" customHeight="false" outlineLevel="0" collapsed="false">
      <c r="A24" s="3" t="s">
        <v>35</v>
      </c>
    </row>
    <row r="25" customFormat="false" ht="15" hidden="false" customHeight="false" outlineLevel="0" collapsed="false">
      <c r="A25" s="16" t="s">
        <v>36</v>
      </c>
      <c r="B25" s="5" t="s">
        <v>37</v>
      </c>
    </row>
    <row r="26" customFormat="false" ht="15" hidden="false" customHeight="false" outlineLevel="0" collapsed="false">
      <c r="A26" s="16" t="s">
        <v>38</v>
      </c>
      <c r="B26" s="5" t="s">
        <v>39</v>
      </c>
    </row>
    <row r="27" customFormat="false" ht="15" hidden="false" customHeight="false" outlineLevel="0" collapsed="false">
      <c r="A27" s="16" t="s">
        <v>40</v>
      </c>
      <c r="B27" s="5" t="s">
        <v>41</v>
      </c>
    </row>
    <row r="28" customFormat="false" ht="15" hidden="false" customHeight="false" outlineLevel="0" collapsed="false">
      <c r="A28" s="16" t="s">
        <v>42</v>
      </c>
      <c r="B28" s="5" t="s">
        <v>43</v>
      </c>
    </row>
    <row r="29" customFormat="false" ht="15" hidden="false" customHeight="false" outlineLevel="0" collapsed="false">
      <c r="A29" s="16" t="s">
        <v>44</v>
      </c>
      <c r="B29" s="5" t="s">
        <v>45</v>
      </c>
    </row>
    <row r="30" customFormat="false" ht="15" hidden="false" customHeight="false" outlineLevel="0" collapsed="false">
      <c r="A30" s="16" t="s">
        <v>46</v>
      </c>
      <c r="B30" s="5" t="s">
        <v>47</v>
      </c>
    </row>
    <row r="31" customFormat="false" ht="15" hidden="false" customHeight="false" outlineLevel="0" collapsed="false">
      <c r="A31" s="16" t="s">
        <v>48</v>
      </c>
      <c r="B31" s="5" t="s">
        <v>49</v>
      </c>
    </row>
    <row r="32" customFormat="false" ht="15" hidden="false" customHeight="false" outlineLevel="0" collapsed="false">
      <c r="A32" s="16" t="s">
        <v>32</v>
      </c>
      <c r="B32" s="5" t="s">
        <v>50</v>
      </c>
    </row>
    <row r="33" customFormat="false" ht="15" hidden="false" customHeight="false" outlineLevel="0" collapsed="false">
      <c r="A33" s="16" t="s">
        <v>51</v>
      </c>
      <c r="B33" s="5" t="s">
        <v>52</v>
      </c>
    </row>
    <row r="34" customFormat="false" ht="15" hidden="false" customHeight="false" outlineLevel="0" collapsed="false">
      <c r="A34" s="16" t="s">
        <v>53</v>
      </c>
      <c r="B34" s="5" t="s">
        <v>54</v>
      </c>
    </row>
    <row r="35" customFormat="false" ht="15" hidden="false" customHeight="false" outlineLevel="0" collapsed="false">
      <c r="A35" s="16" t="s">
        <v>55</v>
      </c>
      <c r="B35" s="5"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8"/>
    <col collapsed="false" customWidth="true" hidden="false" outlineLevel="0" max="6" min="6" style="0" width="16"/>
    <col collapsed="false" customWidth="true" hidden="false" outlineLevel="0" max="7" min="7" style="0" width="60"/>
    <col collapsed="false" customWidth="true" hidden="false" outlineLevel="0" max="8" min="8" style="0" width="1"/>
  </cols>
  <sheetData>
    <row r="1" customFormat="false" ht="17.35" hidden="false" customHeight="false" outlineLevel="0" collapsed="false">
      <c r="A1" s="1" t="s">
        <v>57</v>
      </c>
    </row>
    <row r="2" customFormat="false" ht="27.75" hidden="false" customHeight="true" outlineLevel="0" collapsed="false">
      <c r="A2" s="17" t="s">
        <v>58</v>
      </c>
      <c r="B2" s="17"/>
      <c r="C2" s="17"/>
      <c r="D2" s="17"/>
      <c r="E2" s="17"/>
      <c r="F2" s="17"/>
      <c r="G2" s="17"/>
    </row>
    <row r="4" customFormat="false" ht="15" hidden="false" customHeight="false" outlineLevel="0" collapsed="false">
      <c r="A4" s="18" t="s">
        <v>59</v>
      </c>
    </row>
    <row r="5" customFormat="false" ht="23.85" hidden="false" customHeight="false" outlineLevel="0" collapsed="false">
      <c r="A5" s="19" t="s">
        <v>60</v>
      </c>
      <c r="B5" s="19" t="s">
        <v>61</v>
      </c>
      <c r="C5" s="19" t="s">
        <v>62</v>
      </c>
      <c r="D5" s="19" t="s">
        <v>63</v>
      </c>
      <c r="E5" s="19" t="s">
        <v>64</v>
      </c>
      <c r="F5" s="19"/>
      <c r="G5" s="19" t="s">
        <v>65</v>
      </c>
    </row>
    <row r="6" customFormat="false" ht="22.35" hidden="false" customHeight="false" outlineLevel="0" collapsed="false">
      <c r="A6" s="20" t="s">
        <v>66</v>
      </c>
      <c r="B6" s="21" t="n">
        <f aca="false">SUMIFS('Dashboard (all rows)'!I3:I27,'Dashboard (all rows)'!C3:C27,"P1*")</f>
        <v>0</v>
      </c>
      <c r="C6" s="21" t="n">
        <f aca="false">SUMIFS('Legacy Grants R1 2025-26'!I3:I40,'Legacy Grants R1 2025-26'!A3:A40,"F&amp;E")</f>
        <v>1851050</v>
      </c>
      <c r="D6" s="22" t="n">
        <f aca="false">B6+C6</f>
        <v>1851050</v>
      </c>
      <c r="E6" s="23" t="n">
        <f aca="false">D6/$D$11</f>
        <v>0.325487954985054</v>
      </c>
      <c r="G6" s="20" t="s">
        <v>67</v>
      </c>
    </row>
    <row r="7" customFormat="false" ht="22.35" hidden="false" customHeight="false" outlineLevel="0" collapsed="false">
      <c r="A7" s="24" t="s">
        <v>68</v>
      </c>
      <c r="B7" s="25" t="n">
        <f aca="false">SUMIFS('Dashboard (all rows)'!I3:I27,'Dashboard (all rows)'!C3:C27,"P3*")</f>
        <v>450000</v>
      </c>
      <c r="C7" s="25" t="n">
        <f aca="false">SUMIFS('Legacy Grants R1 2025-26'!I3:I40,'Legacy Grants R1 2025-26'!A3:A40,"P&amp;W")</f>
        <v>223372</v>
      </c>
      <c r="D7" s="26" t="n">
        <f aca="false">B7+C7</f>
        <v>673372</v>
      </c>
      <c r="E7" s="27" t="n">
        <f aca="false">D7/$D$11</f>
        <v>0.118405486196589</v>
      </c>
      <c r="G7" s="24" t="s">
        <v>69</v>
      </c>
    </row>
    <row r="8" customFormat="false" ht="22.35" hidden="false" customHeight="false" outlineLevel="0" collapsed="false">
      <c r="A8" s="28" t="s">
        <v>70</v>
      </c>
      <c r="B8" s="29" t="n">
        <f aca="false">SUMIFS('Dashboard (all rows)'!I3:I27,'Dashboard (all rows)'!C3:C27,"P4*")</f>
        <v>1167000</v>
      </c>
      <c r="C8" s="29" t="n">
        <f aca="false">SUMIFS('Legacy Grants R1 2025-26'!I3:I40,'Legacy Grants R1 2025-26'!A3:A40,"INC")</f>
        <v>75578</v>
      </c>
      <c r="D8" s="30" t="n">
        <f aca="false">B8+C8</f>
        <v>1242578</v>
      </c>
      <c r="E8" s="31" t="n">
        <f aca="false">D8/$D$11</f>
        <v>0.218494461051521</v>
      </c>
      <c r="G8" s="28" t="s">
        <v>71</v>
      </c>
    </row>
    <row r="9" customFormat="false" ht="15" hidden="false" customHeight="false" outlineLevel="0" collapsed="false">
      <c r="A9" s="32" t="s">
        <v>72</v>
      </c>
      <c r="B9" s="33" t="n">
        <f aca="false">SUMIFS('Dashboard (all rows)'!I3:I27,'Dashboard (all rows)'!C3:C27,"P2*")</f>
        <v>1220000</v>
      </c>
      <c r="C9" s="33" t="n">
        <v>0</v>
      </c>
      <c r="D9" s="34" t="n">
        <f aca="false">B9+C9</f>
        <v>1220000</v>
      </c>
      <c r="E9" s="35" t="n">
        <f aca="false">D9/$D$11</f>
        <v>0.214524353789344</v>
      </c>
      <c r="G9" s="32" t="s">
        <v>73</v>
      </c>
    </row>
    <row r="10" customFormat="false" ht="15" hidden="false" customHeight="false" outlineLevel="0" collapsed="false">
      <c r="A10" s="32" t="s">
        <v>74</v>
      </c>
      <c r="B10" s="33" t="n">
        <f aca="false">SUMIFS('Dashboard (all rows)'!I3:I27,'Dashboard (all rows)'!C3:C27,"P5*")+SUMIFS('Dashboard (all rows)'!I3:I27,'Dashboard (all rows)'!C3:C27,"PM*")</f>
        <v>700000</v>
      </c>
      <c r="C10" s="33" t="n">
        <v>0</v>
      </c>
      <c r="D10" s="34" t="n">
        <f aca="false">B10+C10</f>
        <v>700000</v>
      </c>
      <c r="E10" s="35" t="n">
        <f aca="false">D10/$D$11</f>
        <v>0.123087743977493</v>
      </c>
      <c r="G10" s="32" t="s">
        <v>75</v>
      </c>
    </row>
    <row r="11" customFormat="false" ht="15" hidden="false" customHeight="false" outlineLevel="0" collapsed="false">
      <c r="A11" s="36" t="s">
        <v>76</v>
      </c>
      <c r="B11" s="37" t="n">
        <f aca="false">SUM(B6:B10)</f>
        <v>3537000</v>
      </c>
      <c r="C11" s="37" t="n">
        <f aca="false">SUM(C6:C10)</f>
        <v>2150000</v>
      </c>
      <c r="D11" s="37" t="n">
        <f aca="false">SUM(D6:D10)</f>
        <v>5687000</v>
      </c>
      <c r="E11" s="38" t="n">
        <f aca="false">SUM(E6:E10)</f>
        <v>1</v>
      </c>
      <c r="G11" s="36"/>
    </row>
    <row r="12" customFormat="false" ht="15" hidden="false" customHeight="false" outlineLevel="0" collapsed="false">
      <c r="A12" s="32" t="s">
        <v>77</v>
      </c>
      <c r="B12" s="34" t="n">
        <f aca="false">SUMIFS('Dashboard (all rows)'!I3:I27,'Dashboard (all rows)'!L3:L27,"RWC Wages")</f>
        <v>1297000</v>
      </c>
      <c r="E12" s="35" t="n">
        <f aca="false">B12/B11</f>
        <v>0.366694939214023</v>
      </c>
      <c r="G12" s="32" t="s">
        <v>78</v>
      </c>
    </row>
    <row r="13" customFormat="false" ht="22.35" hidden="false" customHeight="false" outlineLevel="0" collapsed="false">
      <c r="A13" s="20" t="s">
        <v>79</v>
      </c>
      <c r="B13" s="39" t="n">
        <v>150000</v>
      </c>
      <c r="D13" s="39" t="n">
        <v>561000</v>
      </c>
      <c r="E13" s="40" t="n">
        <f aca="false">D13/B13</f>
        <v>3.74</v>
      </c>
      <c r="G13" s="20" t="s">
        <v>80</v>
      </c>
    </row>
    <row r="14" customFormat="false" ht="15" hidden="false" customHeight="false" outlineLevel="0" collapsed="false">
      <c r="A14" s="20" t="s">
        <v>81</v>
      </c>
      <c r="B14" s="22" t="n">
        <f aca="false">SUMIFS('Legacy Grants R1 2025-26'!I3:I40,'Legacy Grants R1 2025-26'!A3:A40,"F&amp;E")-SUMIFS('Legacy Grants R1 2025-26'!I3:I40,'Legacy Grants R1 2025-26'!A3:A40,"F&amp;E",'Legacy Grants R1 2025-26'!H3:H40,"Sydney*")-SUMIFS('Legacy Grants R1 2025-26'!I3:I40,'Legacy Grants R1 2025-26'!A3:A40,"F&amp;E",'Legacy Grants R1 2025-26'!H3:H40,"Western Sydney")</f>
        <v>1264258</v>
      </c>
      <c r="E14" s="23" t="n">
        <f aca="false">B14/SUMIFS('Legacy Grants R1 2025-26'!I3:I40,'Legacy Grants R1 2025-26'!A3:A40,"F&amp;E")</f>
        <v>0.68299505685962</v>
      </c>
      <c r="G14" s="20" t="s">
        <v>82</v>
      </c>
    </row>
    <row r="16" customFormat="false" ht="15" hidden="false" customHeight="false" outlineLevel="0" collapsed="false">
      <c r="A16" s="18" t="s">
        <v>83</v>
      </c>
    </row>
    <row r="17" customFormat="false" ht="23.85" hidden="false" customHeight="false" outlineLevel="0" collapsed="false">
      <c r="A17" s="19" t="s">
        <v>84</v>
      </c>
      <c r="B17" s="19" t="s">
        <v>85</v>
      </c>
      <c r="C17" s="19" t="s">
        <v>86</v>
      </c>
      <c r="D17" s="19" t="s">
        <v>87</v>
      </c>
      <c r="E17" s="19" t="s">
        <v>88</v>
      </c>
      <c r="F17" s="19" t="s">
        <v>89</v>
      </c>
      <c r="G17" s="19" t="s">
        <v>90</v>
      </c>
    </row>
    <row r="18" customFormat="false" ht="15" hidden="false" customHeight="false" outlineLevel="0" collapsed="false">
      <c r="A18" s="24" t="s">
        <v>91</v>
      </c>
      <c r="B18" s="41" t="n">
        <v>3514</v>
      </c>
      <c r="C18" s="42" t="n">
        <v>0.5</v>
      </c>
      <c r="D18" s="27" t="n">
        <f aca="false">(1+C18)^(1/3)-1</f>
        <v>0.144714242553332</v>
      </c>
      <c r="E18" s="43" t="n">
        <v>0.18</v>
      </c>
      <c r="F18" s="24" t="str">
        <f aca="false">IF(E18="","No data",IF(E18&gt;=D18,"Ahead",IF(E18&gt;=0.8*D18,"Close","Behind")))</f>
        <v>Ahead</v>
      </c>
      <c r="G18" s="24" t="s">
        <v>92</v>
      </c>
    </row>
    <row r="19" customFormat="false" ht="15" hidden="false" customHeight="false" outlineLevel="0" collapsed="false">
      <c r="A19" s="24" t="s">
        <v>93</v>
      </c>
      <c r="B19" s="41" t="n">
        <v>1281</v>
      </c>
      <c r="C19" s="42" t="n">
        <v>0.75</v>
      </c>
      <c r="D19" s="27" t="n">
        <f aca="false">(1+C19)^(1/3)-1</f>
        <v>0.205071132087615</v>
      </c>
      <c r="E19" s="43" t="n">
        <v>0.18</v>
      </c>
      <c r="F19" s="24" t="str">
        <f aca="false">IF(E19="","No data",IF(E19&gt;=D19,"Ahead",IF(E19&gt;=0.8*D19,"Close","Behind")))</f>
        <v>Close</v>
      </c>
      <c r="G19" s="24" t="s">
        <v>94</v>
      </c>
    </row>
    <row r="20" customFormat="false" ht="15" hidden="false" customHeight="false" outlineLevel="0" collapsed="false">
      <c r="A20" s="28" t="s">
        <v>95</v>
      </c>
      <c r="B20" s="44" t="n">
        <v>7917</v>
      </c>
      <c r="C20" s="45" t="n">
        <v>0.5</v>
      </c>
      <c r="D20" s="31" t="n">
        <f aca="false">(1+C20)^(1/3)-1</f>
        <v>0.144714242553332</v>
      </c>
      <c r="E20" s="46" t="n">
        <v>0.06</v>
      </c>
      <c r="F20" s="28" t="str">
        <f aca="false">IF(E20="","No data",IF(E20&gt;=D20,"Ahead",IF(E20&gt;=0.8*D20,"Close","Behind")))</f>
        <v>Behind</v>
      </c>
      <c r="G20" s="28" t="s">
        <v>96</v>
      </c>
    </row>
    <row r="21" customFormat="false" ht="15" hidden="false" customHeight="false" outlineLevel="0" collapsed="false">
      <c r="A21" s="28" t="s">
        <v>97</v>
      </c>
      <c r="B21" s="44" t="n">
        <v>106</v>
      </c>
      <c r="C21" s="45" t="n">
        <v>2</v>
      </c>
      <c r="D21" s="31" t="n">
        <f aca="false">(1+C21)^(1/3)-1</f>
        <v>0.442249570307408</v>
      </c>
      <c r="E21" s="47"/>
      <c r="F21" s="28" t="str">
        <f aca="false">IF(E21="","No data",IF(E21&gt;=D21,"Ahead",IF(E21&gt;=0.8*D21,"Close","Behind")))</f>
        <v>No data</v>
      </c>
      <c r="G21" s="28" t="s">
        <v>98</v>
      </c>
    </row>
    <row r="22" customFormat="false" ht="15" hidden="false" customHeight="false" outlineLevel="0" collapsed="false">
      <c r="A22" s="28" t="s">
        <v>99</v>
      </c>
      <c r="B22" s="44" t="n">
        <v>192</v>
      </c>
      <c r="C22" s="45" t="n">
        <v>1.5</v>
      </c>
      <c r="D22" s="31" t="n">
        <f aca="false">(1+C22)^(1/3)-1</f>
        <v>0.357208808297453</v>
      </c>
      <c r="E22" s="47"/>
      <c r="F22" s="28" t="str">
        <f aca="false">IF(E22="","No data",IF(E22&gt;=D22,"Ahead",IF(E22&gt;=0.8*D22,"Close","Behind")))</f>
        <v>No data</v>
      </c>
      <c r="G22" s="28" t="s">
        <v>98</v>
      </c>
    </row>
    <row r="23" customFormat="false" ht="15" hidden="false" customHeight="false" outlineLevel="0" collapsed="false">
      <c r="A23" s="32" t="s">
        <v>100</v>
      </c>
      <c r="B23" s="48" t="n">
        <v>6127</v>
      </c>
      <c r="C23" s="47"/>
      <c r="D23" s="35" t="n">
        <v>0.075</v>
      </c>
      <c r="E23" s="49" t="n">
        <v>0.09</v>
      </c>
      <c r="F23" s="32" t="str">
        <f aca="false">IF(E23="","No data",IF(E23&gt;=D23,"Ahead",IF(E23&gt;=0.8*D23,"Close","Behind")))</f>
        <v>Ahead</v>
      </c>
      <c r="G23" s="32" t="s">
        <v>101</v>
      </c>
    </row>
    <row r="24" customFormat="false" ht="15" hidden="false" customHeight="false" outlineLevel="0" collapsed="false">
      <c r="A24" s="32" t="s">
        <v>102</v>
      </c>
      <c r="B24" s="48" t="n">
        <v>38244</v>
      </c>
      <c r="C24" s="50" t="n">
        <v>0.25</v>
      </c>
      <c r="D24" s="35" t="n">
        <f aca="false">(1+C24)^(1/2)-1</f>
        <v>0.118033988749895</v>
      </c>
      <c r="E24" s="49" t="n">
        <v>0.011</v>
      </c>
      <c r="F24" s="32" t="str">
        <f aca="false">IF(E24="","No data",IF(E24&gt;=D24,"Ahead",IF(E24&gt;=0.8*D24,"Close","Behind")))</f>
        <v>Behind</v>
      </c>
      <c r="G24" s="32" t="s">
        <v>103</v>
      </c>
    </row>
    <row r="27" customFormat="false" ht="15" hidden="false" customHeight="false" outlineLevel="0" collapsed="false">
      <c r="A27" s="18" t="s">
        <v>104</v>
      </c>
    </row>
    <row r="28" customFormat="false" ht="15" hidden="false" customHeight="false" outlineLevel="0" collapsed="false">
      <c r="A28" s="19" t="s">
        <v>36</v>
      </c>
      <c r="B28" s="19" t="s">
        <v>105</v>
      </c>
      <c r="C28" s="19" t="s">
        <v>106</v>
      </c>
      <c r="D28" s="19"/>
      <c r="E28" s="19"/>
      <c r="F28" s="19"/>
      <c r="G28" s="19" t="s">
        <v>107</v>
      </c>
    </row>
    <row r="29" customFormat="false" ht="22.35" hidden="false" customHeight="false" outlineLevel="0" collapsed="false">
      <c r="A29" s="24" t="s">
        <v>108</v>
      </c>
      <c r="B29" s="41" t="n">
        <v>3000000000</v>
      </c>
      <c r="C29" s="24" t="s">
        <v>109</v>
      </c>
      <c r="G29" s="24" t="s">
        <v>110</v>
      </c>
    </row>
    <row r="30" customFormat="false" ht="15" hidden="false" customHeight="false" outlineLevel="0" collapsed="false">
      <c r="A30" s="24" t="s">
        <v>111</v>
      </c>
      <c r="B30" s="51" t="n">
        <f aca="false">B29/158000000</f>
        <v>18.9873417721519</v>
      </c>
      <c r="C30" s="24" t="s">
        <v>112</v>
      </c>
      <c r="G30" s="24" t="s">
        <v>113</v>
      </c>
    </row>
    <row r="31" customFormat="false" ht="15" hidden="false" customHeight="false" outlineLevel="0" collapsed="false">
      <c r="A31" s="28" t="s">
        <v>114</v>
      </c>
      <c r="B31" s="44" t="n">
        <v>3132</v>
      </c>
      <c r="C31" s="28" t="s">
        <v>115</v>
      </c>
      <c r="G31" s="28" t="s">
        <v>116</v>
      </c>
    </row>
    <row r="32" customFormat="false" ht="15" hidden="false" customHeight="false" outlineLevel="0" collapsed="false">
      <c r="A32" s="32" t="s">
        <v>117</v>
      </c>
      <c r="B32" s="48" t="n">
        <v>1900</v>
      </c>
      <c r="C32" s="32" t="s">
        <v>115</v>
      </c>
      <c r="G32" s="32" t="s">
        <v>116</v>
      </c>
    </row>
    <row r="33" customFormat="false" ht="22.35" hidden="false" customHeight="false" outlineLevel="0" collapsed="false">
      <c r="A33" s="20" t="s">
        <v>118</v>
      </c>
      <c r="B33" s="52" t="n">
        <v>7040000000</v>
      </c>
      <c r="C33" s="20" t="s">
        <v>109</v>
      </c>
      <c r="G33" s="20" t="s">
        <v>119</v>
      </c>
    </row>
    <row r="34" customFormat="false" ht="22.35" hidden="false" customHeight="false" outlineLevel="0" collapsed="false">
      <c r="A34" s="32" t="s">
        <v>120</v>
      </c>
      <c r="B34" s="48" t="n">
        <v>34700000000</v>
      </c>
      <c r="C34" s="32" t="s">
        <v>109</v>
      </c>
      <c r="G34" s="32" t="s">
        <v>121</v>
      </c>
    </row>
    <row r="35" customFormat="false" ht="15" hidden="false" customHeight="false" outlineLevel="0" collapsed="false">
      <c r="A35" s="24" t="s">
        <v>122</v>
      </c>
      <c r="B35" s="53" t="n">
        <v>3</v>
      </c>
      <c r="C35" s="24" t="s">
        <v>123</v>
      </c>
      <c r="G35" s="24" t="s">
        <v>124</v>
      </c>
    </row>
    <row r="36" customFormat="false" ht="22.35" hidden="false" customHeight="false" outlineLevel="0" collapsed="false">
      <c r="A36" s="28" t="s">
        <v>125</v>
      </c>
      <c r="B36" s="54" t="n">
        <v>1.01</v>
      </c>
      <c r="C36" s="28" t="s">
        <v>123</v>
      </c>
      <c r="G36" s="28" t="s">
        <v>126</v>
      </c>
    </row>
    <row r="37" customFormat="false" ht="15" hidden="false" customHeight="false" outlineLevel="0" collapsed="false">
      <c r="A37" s="32" t="s">
        <v>127</v>
      </c>
      <c r="B37" s="55" t="n">
        <v>7</v>
      </c>
      <c r="C37" s="32" t="s">
        <v>123</v>
      </c>
      <c r="G37" s="32" t="s">
        <v>128</v>
      </c>
    </row>
    <row r="39" customFormat="false" ht="15" hidden="false" customHeight="false" outlineLevel="0" collapsed="false">
      <c r="A39" s="18" t="s">
        <v>129</v>
      </c>
    </row>
    <row r="40" customFormat="false" ht="15" hidden="false" customHeight="false" outlineLevel="0" collapsed="false">
      <c r="A40" s="32" t="s">
        <v>130</v>
      </c>
      <c r="B40" s="56" t="n">
        <v>6160</v>
      </c>
      <c r="G40" s="32" t="s">
        <v>131</v>
      </c>
    </row>
    <row r="41" customFormat="false" ht="15" hidden="false" customHeight="false" outlineLevel="0" collapsed="false">
      <c r="A41" s="32" t="s">
        <v>132</v>
      </c>
      <c r="B41" s="49" t="n">
        <v>0.06</v>
      </c>
      <c r="G41" s="32" t="s">
        <v>133</v>
      </c>
    </row>
    <row r="42" customFormat="false" ht="15" hidden="false" customHeight="false" outlineLevel="0" collapsed="false">
      <c r="A42" s="32" t="s">
        <v>134</v>
      </c>
      <c r="B42" s="57" t="n">
        <f aca="false">B40-B40/(1+B41)</f>
        <v>348.67924528302</v>
      </c>
      <c r="G42" s="32"/>
    </row>
    <row r="43" customFormat="false" ht="15" hidden="false" customHeight="false" outlineLevel="0" collapsed="false">
      <c r="A43" s="28" t="s">
        <v>135</v>
      </c>
      <c r="B43" s="30" t="n">
        <f aca="false">B42*B31</f>
        <v>1092063.39622642</v>
      </c>
      <c r="G43" s="28" t="s">
        <v>136</v>
      </c>
    </row>
    <row r="44" customFormat="false" ht="15" hidden="false" customHeight="false" outlineLevel="0" collapsed="false">
      <c r="A44" s="32" t="s">
        <v>137</v>
      </c>
      <c r="B44" s="58" t="n">
        <f aca="false">B43/B8</f>
        <v>0.935786971916382</v>
      </c>
      <c r="G44" s="32" t="s">
        <v>138</v>
      </c>
    </row>
    <row r="46" customFormat="false" ht="15" hidden="false" customHeight="false" outlineLevel="0" collapsed="false">
      <c r="A46" s="18" t="s">
        <v>139</v>
      </c>
    </row>
    <row r="47" customFormat="false" ht="57.75" hidden="false" customHeight="true" outlineLevel="0" collapsed="false">
      <c r="A47" s="59" t="s">
        <v>140</v>
      </c>
      <c r="B47" s="59"/>
      <c r="C47" s="59"/>
      <c r="D47" s="59"/>
      <c r="E47" s="59"/>
      <c r="F47" s="59"/>
      <c r="G47" s="59"/>
    </row>
    <row r="48" customFormat="false" ht="57.75" hidden="false" customHeight="true" outlineLevel="0" collapsed="false">
      <c r="A48" s="60" t="s">
        <v>141</v>
      </c>
      <c r="B48" s="60"/>
      <c r="C48" s="60"/>
      <c r="D48" s="60"/>
      <c r="E48" s="60"/>
      <c r="F48" s="60"/>
      <c r="G48" s="60"/>
    </row>
    <row r="49" customFormat="false" ht="57.75" hidden="false" customHeight="true" outlineLevel="0" collapsed="false">
      <c r="A49" s="61" t="s">
        <v>142</v>
      </c>
      <c r="B49" s="61"/>
      <c r="C49" s="61"/>
      <c r="D49" s="61"/>
      <c r="E49" s="61"/>
      <c r="F49" s="61"/>
      <c r="G49" s="61"/>
    </row>
    <row r="50" customFormat="false" ht="57.75" hidden="false" customHeight="true" outlineLevel="0" collapsed="false">
      <c r="A50" s="62" t="s">
        <v>143</v>
      </c>
      <c r="B50" s="62"/>
      <c r="C50" s="62"/>
      <c r="D50" s="62"/>
      <c r="E50" s="62"/>
      <c r="F50" s="62"/>
      <c r="G50" s="62"/>
    </row>
    <row r="51" customFormat="false" ht="57.75" hidden="false" customHeight="true" outlineLevel="0" collapsed="false">
      <c r="A51" s="62" t="s">
        <v>144</v>
      </c>
      <c r="B51" s="62"/>
      <c r="C51" s="62"/>
      <c r="D51" s="62"/>
      <c r="E51" s="62"/>
      <c r="F51" s="62"/>
      <c r="G51" s="62"/>
    </row>
    <row r="52" customFormat="false" ht="57.75" hidden="false" customHeight="true" outlineLevel="0" collapsed="false">
      <c r="A52" s="62" t="s">
        <v>145</v>
      </c>
      <c r="B52" s="62"/>
      <c r="C52" s="62"/>
      <c r="D52" s="62"/>
      <c r="E52" s="62"/>
      <c r="F52" s="62"/>
      <c r="G52" s="62"/>
    </row>
  </sheetData>
  <mergeCells count="7">
    <mergeCell ref="A2:G2"/>
    <mergeCell ref="A47:G47"/>
    <mergeCell ref="A48:G48"/>
    <mergeCell ref="A49:G49"/>
    <mergeCell ref="A50:G50"/>
    <mergeCell ref="A51:G51"/>
    <mergeCell ref="A52:G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26"/>
    <col collapsed="false" customWidth="true" hidden="false" outlineLevel="0" max="4" min="4" style="0" width="36"/>
    <col collapsed="false" customWidth="true" hidden="false" outlineLevel="0" max="5" min="5" style="0" width="38"/>
    <col collapsed="false" customWidth="true" hidden="false" outlineLevel="0" max="6" min="6" style="0" width="34"/>
    <col collapsed="false" customWidth="true" hidden="false" outlineLevel="0" max="7" min="7" style="0" width="18"/>
    <col collapsed="false" customWidth="true" hidden="false" outlineLevel="0" max="8" min="8" style="0" width="38"/>
    <col collapsed="false" customWidth="true" hidden="false" outlineLevel="0" max="9" min="9" style="0" width="42"/>
    <col collapsed="false" customWidth="true" hidden="false" outlineLevel="0" max="10" min="10" style="0" width="40"/>
  </cols>
  <sheetData>
    <row r="1" customFormat="false" ht="30" hidden="false" customHeight="true" outlineLevel="0" collapsed="false">
      <c r="A1" s="63" t="s">
        <v>146</v>
      </c>
      <c r="B1" s="63"/>
      <c r="C1" s="63"/>
      <c r="D1" s="63"/>
      <c r="E1" s="63"/>
      <c r="F1" s="63"/>
      <c r="G1" s="63"/>
      <c r="H1" s="63"/>
      <c r="I1" s="63"/>
      <c r="J1" s="63"/>
    </row>
    <row r="2" customFormat="false" ht="15" hidden="false" customHeight="false" outlineLevel="0" collapsed="false">
      <c r="A2" s="19" t="s">
        <v>147</v>
      </c>
      <c r="B2" s="19" t="s">
        <v>148</v>
      </c>
      <c r="C2" s="19" t="s">
        <v>149</v>
      </c>
      <c r="D2" s="19" t="s">
        <v>150</v>
      </c>
      <c r="E2" s="19" t="s">
        <v>151</v>
      </c>
      <c r="F2" s="19" t="s">
        <v>152</v>
      </c>
      <c r="G2" s="19" t="s">
        <v>153</v>
      </c>
      <c r="H2" s="19" t="s">
        <v>154</v>
      </c>
      <c r="I2" s="19" t="s">
        <v>155</v>
      </c>
      <c r="J2" s="19" t="s">
        <v>156</v>
      </c>
    </row>
    <row r="3" customFormat="false" ht="32.8" hidden="false" customHeight="false" outlineLevel="0" collapsed="false">
      <c r="A3" s="32" t="s">
        <v>157</v>
      </c>
      <c r="B3" s="32" t="s">
        <v>158</v>
      </c>
      <c r="C3" s="32" t="s">
        <v>159</v>
      </c>
      <c r="D3" s="32" t="s">
        <v>160</v>
      </c>
      <c r="E3" s="32" t="s">
        <v>161</v>
      </c>
      <c r="F3" s="32" t="s">
        <v>162</v>
      </c>
      <c r="G3" s="32" t="s">
        <v>163</v>
      </c>
      <c r="H3" s="32" t="s">
        <v>164</v>
      </c>
      <c r="I3" s="32" t="s">
        <v>165</v>
      </c>
      <c r="J3" s="32" t="s">
        <v>166</v>
      </c>
    </row>
    <row r="4" customFormat="false" ht="32.8" hidden="false" customHeight="false" outlineLevel="0" collapsed="false">
      <c r="A4" s="36" t="s">
        <v>167</v>
      </c>
      <c r="B4" s="32" t="s">
        <v>168</v>
      </c>
      <c r="C4" s="32" t="s">
        <v>169</v>
      </c>
      <c r="D4" s="32" t="s">
        <v>170</v>
      </c>
      <c r="E4" s="32" t="s">
        <v>171</v>
      </c>
      <c r="F4" s="32" t="s">
        <v>172</v>
      </c>
      <c r="G4" s="32" t="s">
        <v>173</v>
      </c>
      <c r="H4" s="32" t="s">
        <v>174</v>
      </c>
      <c r="I4" s="32" t="s">
        <v>175</v>
      </c>
      <c r="J4" s="32" t="s">
        <v>176</v>
      </c>
    </row>
    <row r="5" customFormat="false" ht="32.8" hidden="false" customHeight="false" outlineLevel="0" collapsed="false">
      <c r="A5" s="36" t="s">
        <v>177</v>
      </c>
      <c r="B5" s="32" t="s">
        <v>178</v>
      </c>
      <c r="C5" s="32" t="s">
        <v>179</v>
      </c>
      <c r="D5" s="32" t="s">
        <v>180</v>
      </c>
      <c r="E5" s="32" t="s">
        <v>181</v>
      </c>
      <c r="F5" s="32" t="s">
        <v>182</v>
      </c>
      <c r="G5" s="32" t="s">
        <v>183</v>
      </c>
      <c r="H5" s="32" t="s">
        <v>184</v>
      </c>
      <c r="I5" s="32" t="s">
        <v>185</v>
      </c>
      <c r="J5" s="32" t="s">
        <v>186</v>
      </c>
    </row>
    <row r="6" customFormat="false" ht="32.8" hidden="false" customHeight="false" outlineLevel="0" collapsed="false">
      <c r="A6" s="36" t="s">
        <v>187</v>
      </c>
      <c r="B6" s="32" t="s">
        <v>188</v>
      </c>
      <c r="C6" s="32" t="s">
        <v>189</v>
      </c>
      <c r="D6" s="32" t="s">
        <v>190</v>
      </c>
      <c r="E6" s="32" t="s">
        <v>191</v>
      </c>
      <c r="F6" s="32" t="s">
        <v>192</v>
      </c>
      <c r="G6" s="32" t="s">
        <v>193</v>
      </c>
      <c r="H6" s="32" t="s">
        <v>194</v>
      </c>
      <c r="I6" s="32" t="s">
        <v>195</v>
      </c>
      <c r="J6" s="32" t="s">
        <v>196</v>
      </c>
    </row>
    <row r="7" customFormat="false" ht="53.7" hidden="false" customHeight="false" outlineLevel="0" collapsed="false">
      <c r="A7" s="36" t="s">
        <v>197</v>
      </c>
      <c r="B7" s="32" t="s">
        <v>198</v>
      </c>
      <c r="C7" s="32" t="s">
        <v>199</v>
      </c>
      <c r="D7" s="32" t="s">
        <v>200</v>
      </c>
      <c r="E7" s="32" t="s">
        <v>201</v>
      </c>
      <c r="F7" s="32" t="s">
        <v>202</v>
      </c>
      <c r="G7" s="32" t="s">
        <v>203</v>
      </c>
      <c r="H7" s="32" t="s">
        <v>204</v>
      </c>
      <c r="I7" s="32" t="s">
        <v>205</v>
      </c>
      <c r="J7" s="32" t="s">
        <v>206</v>
      </c>
    </row>
    <row r="8" customFormat="false" ht="32.8" hidden="false" customHeight="false" outlineLevel="0" collapsed="false">
      <c r="A8" s="32" t="s">
        <v>207</v>
      </c>
      <c r="B8" s="32" t="s">
        <v>208</v>
      </c>
      <c r="C8" s="32" t="s">
        <v>209</v>
      </c>
      <c r="D8" s="32" t="s">
        <v>210</v>
      </c>
      <c r="E8" s="32" t="s">
        <v>211</v>
      </c>
      <c r="F8" s="32" t="s">
        <v>212</v>
      </c>
      <c r="G8" s="32" t="s">
        <v>213</v>
      </c>
      <c r="H8" s="32" t="s">
        <v>214</v>
      </c>
      <c r="I8" s="32" t="s">
        <v>215</v>
      </c>
      <c r="J8" s="32" t="s">
        <v>216</v>
      </c>
    </row>
    <row r="9" customFormat="false" ht="32.8" hidden="false" customHeight="false" outlineLevel="0" collapsed="false">
      <c r="A9" s="32" t="s">
        <v>217</v>
      </c>
      <c r="B9" s="32" t="s">
        <v>218</v>
      </c>
      <c r="C9" s="32" t="s">
        <v>219</v>
      </c>
      <c r="D9" s="32" t="s">
        <v>220</v>
      </c>
      <c r="E9" s="32" t="s">
        <v>221</v>
      </c>
      <c r="F9" s="32" t="s">
        <v>222</v>
      </c>
      <c r="G9" s="32" t="s">
        <v>223</v>
      </c>
      <c r="H9" s="32" t="s">
        <v>224</v>
      </c>
      <c r="I9" s="32" t="s">
        <v>225</v>
      </c>
      <c r="J9" s="32" t="s">
        <v>226</v>
      </c>
    </row>
    <row r="10" customFormat="false" ht="43.25" hidden="false" customHeight="false" outlineLevel="0" collapsed="false">
      <c r="A10" s="32" t="s">
        <v>227</v>
      </c>
      <c r="B10" s="32" t="s">
        <v>228</v>
      </c>
      <c r="C10" s="32" t="s">
        <v>229</v>
      </c>
      <c r="D10" s="32" t="s">
        <v>230</v>
      </c>
      <c r="E10" s="32" t="s">
        <v>231</v>
      </c>
      <c r="F10" s="32" t="s">
        <v>232</v>
      </c>
      <c r="G10" s="32" t="s">
        <v>233</v>
      </c>
      <c r="H10" s="32" t="s">
        <v>234</v>
      </c>
      <c r="I10" s="32" t="s">
        <v>235</v>
      </c>
      <c r="J10" s="32" t="s">
        <v>236</v>
      </c>
    </row>
    <row r="11" customFormat="false" ht="22.35" hidden="false" customHeight="false" outlineLevel="0" collapsed="false">
      <c r="A11" s="36" t="s">
        <v>237</v>
      </c>
      <c r="B11" s="32" t="s">
        <v>168</v>
      </c>
      <c r="C11" s="32" t="s">
        <v>238</v>
      </c>
      <c r="D11" s="32" t="s">
        <v>239</v>
      </c>
      <c r="E11" s="32" t="s">
        <v>240</v>
      </c>
      <c r="F11" s="32" t="s">
        <v>241</v>
      </c>
      <c r="G11" s="32" t="s">
        <v>242</v>
      </c>
      <c r="H11" s="32" t="s">
        <v>243</v>
      </c>
      <c r="I11" s="32" t="s">
        <v>244</v>
      </c>
      <c r="J11" s="32" t="s">
        <v>245</v>
      </c>
    </row>
    <row r="12" customFormat="false" ht="32.8" hidden="false" customHeight="false" outlineLevel="0" collapsed="false">
      <c r="A12" s="32" t="s">
        <v>246</v>
      </c>
      <c r="B12" s="32" t="s">
        <v>247</v>
      </c>
      <c r="C12" s="32" t="s">
        <v>248</v>
      </c>
      <c r="D12" s="32" t="s">
        <v>249</v>
      </c>
      <c r="E12" s="32" t="s">
        <v>250</v>
      </c>
      <c r="F12" s="32" t="s">
        <v>251</v>
      </c>
      <c r="G12" s="32" t="s">
        <v>252</v>
      </c>
      <c r="H12" s="32" t="s">
        <v>253</v>
      </c>
      <c r="I12" s="32" t="s">
        <v>254</v>
      </c>
      <c r="J12" s="32" t="s">
        <v>255</v>
      </c>
    </row>
    <row r="13" customFormat="false" ht="22.35" hidden="false" customHeight="false" outlineLevel="0" collapsed="false">
      <c r="A13" s="32" t="s">
        <v>256</v>
      </c>
      <c r="B13" s="32" t="s">
        <v>257</v>
      </c>
      <c r="C13" s="32" t="s">
        <v>258</v>
      </c>
      <c r="D13" s="32" t="s">
        <v>259</v>
      </c>
      <c r="E13" s="32" t="s">
        <v>260</v>
      </c>
      <c r="F13" s="32" t="s">
        <v>261</v>
      </c>
      <c r="G13" s="32" t="s">
        <v>262</v>
      </c>
      <c r="H13" s="32" t="s">
        <v>263</v>
      </c>
      <c r="I13" s="32" t="s">
        <v>264</v>
      </c>
      <c r="J13" s="32" t="s">
        <v>265</v>
      </c>
    </row>
    <row r="14" customFormat="false" ht="22.35" hidden="false" customHeight="false" outlineLevel="0" collapsed="false">
      <c r="A14" s="36" t="s">
        <v>266</v>
      </c>
      <c r="B14" s="32" t="s">
        <v>267</v>
      </c>
      <c r="C14" s="32" t="s">
        <v>268</v>
      </c>
      <c r="D14" s="32" t="s">
        <v>269</v>
      </c>
      <c r="E14" s="32" t="s">
        <v>270</v>
      </c>
      <c r="F14" s="32" t="s">
        <v>271</v>
      </c>
      <c r="G14" s="32" t="s">
        <v>272</v>
      </c>
      <c r="H14" s="32" t="s">
        <v>273</v>
      </c>
      <c r="I14" s="32" t="s">
        <v>274</v>
      </c>
      <c r="J14" s="32" t="s">
        <v>275</v>
      </c>
    </row>
    <row r="16" customFormat="false" ht="15" hidden="false" customHeight="false" outlineLevel="0" collapsed="false">
      <c r="A16" s="64" t="s">
        <v>276</v>
      </c>
    </row>
    <row r="17" customFormat="false" ht="15" hidden="false" customHeight="false" outlineLevel="0" collapsed="false">
      <c r="A17" s="65" t="s">
        <v>277</v>
      </c>
      <c r="B17" s="65" t="s">
        <v>60</v>
      </c>
      <c r="C17" s="65" t="s">
        <v>278</v>
      </c>
      <c r="D17" s="65" t="s">
        <v>148</v>
      </c>
      <c r="E17" s="65" t="s">
        <v>279</v>
      </c>
      <c r="F17" s="65" t="s">
        <v>280</v>
      </c>
    </row>
    <row r="18" customFormat="false" ht="22.35" hidden="false" customHeight="false" outlineLevel="0" collapsed="false">
      <c r="A18" s="20" t="s">
        <v>3</v>
      </c>
      <c r="B18" s="20" t="s">
        <v>66</v>
      </c>
      <c r="C18" s="20" t="s">
        <v>281</v>
      </c>
      <c r="D18" s="20" t="s">
        <v>282</v>
      </c>
      <c r="E18" s="20" t="s">
        <v>283</v>
      </c>
      <c r="F18" s="20" t="s">
        <v>284</v>
      </c>
    </row>
    <row r="19" customFormat="false" ht="32.8" hidden="false" customHeight="false" outlineLevel="0" collapsed="false">
      <c r="A19" s="20" t="s">
        <v>3</v>
      </c>
      <c r="B19" s="20" t="s">
        <v>66</v>
      </c>
      <c r="C19" s="20" t="s">
        <v>285</v>
      </c>
      <c r="D19" s="20" t="s">
        <v>286</v>
      </c>
      <c r="E19" s="20" t="s">
        <v>287</v>
      </c>
      <c r="F19" s="20" t="s">
        <v>288</v>
      </c>
    </row>
    <row r="20" customFormat="false" ht="22.35" hidden="false" customHeight="false" outlineLevel="0" collapsed="false">
      <c r="A20" s="20" t="s">
        <v>3</v>
      </c>
      <c r="B20" s="20" t="s">
        <v>66</v>
      </c>
      <c r="C20" s="20" t="s">
        <v>289</v>
      </c>
      <c r="D20" s="20" t="s">
        <v>290</v>
      </c>
      <c r="E20" s="20" t="s">
        <v>291</v>
      </c>
      <c r="F20" s="20" t="s">
        <v>292</v>
      </c>
    </row>
    <row r="21" customFormat="false" ht="22.35" hidden="false" customHeight="false" outlineLevel="0" collapsed="false">
      <c r="A21" s="20" t="s">
        <v>3</v>
      </c>
      <c r="B21" s="20" t="s">
        <v>66</v>
      </c>
      <c r="C21" s="20" t="s">
        <v>293</v>
      </c>
      <c r="D21" s="20" t="s">
        <v>294</v>
      </c>
      <c r="E21" s="20" t="s">
        <v>295</v>
      </c>
      <c r="F21" s="20" t="s">
        <v>296</v>
      </c>
    </row>
    <row r="22" customFormat="false" ht="22.35" hidden="false" customHeight="false" outlineLevel="0" collapsed="false">
      <c r="A22" s="24" t="s">
        <v>5</v>
      </c>
      <c r="B22" s="24" t="s">
        <v>68</v>
      </c>
      <c r="C22" s="24" t="s">
        <v>297</v>
      </c>
      <c r="D22" s="24" t="s">
        <v>286</v>
      </c>
      <c r="E22" s="24" t="s">
        <v>298</v>
      </c>
      <c r="F22" s="24" t="s">
        <v>299</v>
      </c>
    </row>
    <row r="23" customFormat="false" ht="22.35" hidden="false" customHeight="false" outlineLevel="0" collapsed="false">
      <c r="A23" s="24" t="s">
        <v>5</v>
      </c>
      <c r="B23" s="24" t="s">
        <v>68</v>
      </c>
      <c r="C23" s="24" t="s">
        <v>300</v>
      </c>
      <c r="D23" s="24" t="s">
        <v>301</v>
      </c>
      <c r="E23" s="24" t="s">
        <v>302</v>
      </c>
      <c r="F23" s="24" t="s">
        <v>303</v>
      </c>
    </row>
    <row r="24" customFormat="false" ht="22.35" hidden="false" customHeight="false" outlineLevel="0" collapsed="false">
      <c r="A24" s="24" t="s">
        <v>5</v>
      </c>
      <c r="B24" s="24" t="s">
        <v>68</v>
      </c>
      <c r="C24" s="24" t="s">
        <v>304</v>
      </c>
      <c r="D24" s="24" t="s">
        <v>305</v>
      </c>
      <c r="E24" s="24" t="s">
        <v>306</v>
      </c>
      <c r="F24" s="24" t="s">
        <v>307</v>
      </c>
    </row>
    <row r="25" customFormat="false" ht="32.8" hidden="false" customHeight="false" outlineLevel="0" collapsed="false">
      <c r="A25" s="28" t="s">
        <v>9</v>
      </c>
      <c r="B25" s="28" t="s">
        <v>70</v>
      </c>
      <c r="C25" s="28" t="s">
        <v>308</v>
      </c>
      <c r="D25" s="28" t="s">
        <v>309</v>
      </c>
      <c r="E25" s="28" t="s">
        <v>310</v>
      </c>
      <c r="F25" s="28" t="s">
        <v>311</v>
      </c>
    </row>
    <row r="26" customFormat="false" ht="22.35" hidden="false" customHeight="false" outlineLevel="0" collapsed="false">
      <c r="A26" s="28" t="s">
        <v>9</v>
      </c>
      <c r="B26" s="28" t="s">
        <v>70</v>
      </c>
      <c r="C26" s="28" t="s">
        <v>312</v>
      </c>
      <c r="D26" s="28" t="s">
        <v>313</v>
      </c>
      <c r="E26" s="28" t="s">
        <v>314</v>
      </c>
      <c r="F26" s="28" t="s">
        <v>315</v>
      </c>
    </row>
    <row r="27" customFormat="false" ht="22.35" hidden="false" customHeight="false" outlineLevel="0" collapsed="false">
      <c r="A27" s="28" t="s">
        <v>9</v>
      </c>
      <c r="B27" s="28" t="s">
        <v>70</v>
      </c>
      <c r="C27" s="28" t="s">
        <v>316</v>
      </c>
      <c r="D27" s="28" t="s">
        <v>305</v>
      </c>
      <c r="E27" s="28" t="s">
        <v>317</v>
      </c>
      <c r="F27" s="28" t="s">
        <v>318</v>
      </c>
    </row>
    <row r="28" customFormat="false" ht="22.35" hidden="false" customHeight="false" outlineLevel="0" collapsed="false">
      <c r="A28" s="32"/>
      <c r="B28" s="32" t="s">
        <v>319</v>
      </c>
      <c r="C28" s="32" t="s">
        <v>320</v>
      </c>
      <c r="D28" s="32" t="s">
        <v>321</v>
      </c>
      <c r="E28" s="32" t="s">
        <v>322</v>
      </c>
      <c r="F28" s="32" t="s">
        <v>323</v>
      </c>
    </row>
    <row r="29" customFormat="false" ht="22.35" hidden="false" customHeight="false" outlineLevel="0" collapsed="false">
      <c r="A29" s="32"/>
      <c r="B29" s="32" t="s">
        <v>319</v>
      </c>
      <c r="C29" s="32" t="s">
        <v>324</v>
      </c>
      <c r="D29" s="32" t="s">
        <v>325</v>
      </c>
      <c r="E29" s="32" t="s">
        <v>326</v>
      </c>
      <c r="F29" s="32" t="s">
        <v>327</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34"/>
    <col collapsed="false" customWidth="true" hidden="false" outlineLevel="0" max="4" min="4" style="0" width="50"/>
    <col collapsed="false" customWidth="true" hidden="false" outlineLevel="0" max="5" min="5" style="0" width="24"/>
    <col collapsed="false" customWidth="true" hidden="false" outlineLevel="0" max="6" min="6" style="0" width="22"/>
    <col collapsed="false" customWidth="true" hidden="false" outlineLevel="0" max="7" min="7" style="0" width="30"/>
    <col collapsed="false" customWidth="true" hidden="false" outlineLevel="0" max="8" min="8" style="0" width="22"/>
    <col collapsed="false" customWidth="true" hidden="false" outlineLevel="0" max="9" min="9" style="0" width="13"/>
  </cols>
  <sheetData>
    <row r="1" customFormat="false" ht="30" hidden="false" customHeight="true" outlineLevel="0" collapsed="false">
      <c r="A1" s="63" t="s">
        <v>328</v>
      </c>
      <c r="B1" s="63"/>
      <c r="C1" s="63"/>
      <c r="D1" s="63"/>
      <c r="E1" s="63"/>
      <c r="F1" s="63"/>
      <c r="G1" s="63"/>
      <c r="H1" s="63"/>
      <c r="I1" s="63"/>
    </row>
    <row r="2" customFormat="false" ht="15" hidden="false" customHeight="false" outlineLevel="0" collapsed="false">
      <c r="A2" s="19" t="s">
        <v>277</v>
      </c>
      <c r="B2" s="19" t="s">
        <v>329</v>
      </c>
      <c r="C2" s="19" t="s">
        <v>330</v>
      </c>
      <c r="D2" s="19" t="s">
        <v>331</v>
      </c>
      <c r="E2" s="19" t="s">
        <v>332</v>
      </c>
      <c r="F2" s="19" t="s">
        <v>333</v>
      </c>
      <c r="G2" s="19" t="s">
        <v>334</v>
      </c>
      <c r="H2" s="19" t="s">
        <v>335</v>
      </c>
      <c r="I2" s="19" t="s">
        <v>336</v>
      </c>
    </row>
    <row r="3" customFormat="false" ht="22.35" hidden="false" customHeight="false" outlineLevel="0" collapsed="false">
      <c r="A3" s="66" t="s">
        <v>3</v>
      </c>
      <c r="B3" s="20" t="s">
        <v>337</v>
      </c>
      <c r="C3" s="20" t="s">
        <v>338</v>
      </c>
      <c r="D3" s="20" t="s">
        <v>339</v>
      </c>
      <c r="E3" s="20" t="s">
        <v>340</v>
      </c>
      <c r="F3" s="20" t="s">
        <v>341</v>
      </c>
      <c r="G3" s="20" t="s">
        <v>342</v>
      </c>
      <c r="H3" s="20" t="s">
        <v>343</v>
      </c>
      <c r="I3" s="22" t="n">
        <v>112348</v>
      </c>
    </row>
    <row r="4" customFormat="false" ht="15" hidden="false" customHeight="false" outlineLevel="0" collapsed="false">
      <c r="A4" s="66" t="s">
        <v>3</v>
      </c>
      <c r="B4" s="20" t="s">
        <v>337</v>
      </c>
      <c r="C4" s="20" t="s">
        <v>344</v>
      </c>
      <c r="D4" s="20" t="s">
        <v>345</v>
      </c>
      <c r="E4" s="20" t="s">
        <v>346</v>
      </c>
      <c r="F4" s="20" t="s">
        <v>347</v>
      </c>
      <c r="G4" s="20" t="s">
        <v>344</v>
      </c>
      <c r="H4" s="20" t="s">
        <v>348</v>
      </c>
      <c r="I4" s="22" t="n">
        <v>135200</v>
      </c>
    </row>
    <row r="5" customFormat="false" ht="22.35" hidden="false" customHeight="false" outlineLevel="0" collapsed="false">
      <c r="A5" s="66" t="s">
        <v>3</v>
      </c>
      <c r="B5" s="20" t="s">
        <v>337</v>
      </c>
      <c r="C5" s="20" t="s">
        <v>349</v>
      </c>
      <c r="D5" s="20" t="s">
        <v>350</v>
      </c>
      <c r="E5" s="20" t="s">
        <v>351</v>
      </c>
      <c r="F5" s="20" t="s">
        <v>352</v>
      </c>
      <c r="G5" s="20" t="s">
        <v>349</v>
      </c>
      <c r="H5" s="20" t="s">
        <v>353</v>
      </c>
      <c r="I5" s="22" t="n">
        <v>150000</v>
      </c>
    </row>
    <row r="6" customFormat="false" ht="15" hidden="false" customHeight="false" outlineLevel="0" collapsed="false">
      <c r="A6" s="66" t="s">
        <v>3</v>
      </c>
      <c r="B6" s="20" t="s">
        <v>337</v>
      </c>
      <c r="C6" s="20" t="s">
        <v>354</v>
      </c>
      <c r="D6" s="20" t="s">
        <v>355</v>
      </c>
      <c r="E6" s="20" t="s">
        <v>356</v>
      </c>
      <c r="F6" s="20" t="s">
        <v>357</v>
      </c>
      <c r="G6" s="20" t="s">
        <v>358</v>
      </c>
      <c r="H6" s="20" t="s">
        <v>359</v>
      </c>
      <c r="I6" s="22" t="n">
        <v>87628</v>
      </c>
    </row>
    <row r="7" customFormat="false" ht="22.35" hidden="false" customHeight="false" outlineLevel="0" collapsed="false">
      <c r="A7" s="66" t="s">
        <v>3</v>
      </c>
      <c r="B7" s="20" t="s">
        <v>337</v>
      </c>
      <c r="C7" s="20" t="s">
        <v>360</v>
      </c>
      <c r="D7" s="20" t="s">
        <v>361</v>
      </c>
      <c r="E7" s="20" t="s">
        <v>362</v>
      </c>
      <c r="F7" s="20" t="s">
        <v>363</v>
      </c>
      <c r="G7" s="20" t="s">
        <v>364</v>
      </c>
      <c r="H7" s="20" t="s">
        <v>365</v>
      </c>
      <c r="I7" s="22" t="n">
        <v>108626</v>
      </c>
    </row>
    <row r="8" customFormat="false" ht="15" hidden="false" customHeight="false" outlineLevel="0" collapsed="false">
      <c r="A8" s="66" t="s">
        <v>3</v>
      </c>
      <c r="B8" s="20" t="s">
        <v>337</v>
      </c>
      <c r="C8" s="20" t="s">
        <v>366</v>
      </c>
      <c r="D8" s="20" t="s">
        <v>367</v>
      </c>
      <c r="E8" s="20" t="s">
        <v>368</v>
      </c>
      <c r="F8" s="20" t="s">
        <v>369</v>
      </c>
      <c r="G8" s="20" t="s">
        <v>370</v>
      </c>
      <c r="H8" s="20" t="s">
        <v>371</v>
      </c>
      <c r="I8" s="22" t="n">
        <v>49025</v>
      </c>
    </row>
    <row r="9" customFormat="false" ht="15" hidden="false" customHeight="false" outlineLevel="0" collapsed="false">
      <c r="A9" s="66" t="s">
        <v>3</v>
      </c>
      <c r="B9" s="20" t="s">
        <v>337</v>
      </c>
      <c r="C9" s="20" t="s">
        <v>372</v>
      </c>
      <c r="D9" s="20" t="s">
        <v>373</v>
      </c>
      <c r="E9" s="20" t="s">
        <v>356</v>
      </c>
      <c r="F9" s="20" t="s">
        <v>374</v>
      </c>
      <c r="G9" s="20" t="s">
        <v>375</v>
      </c>
      <c r="H9" s="20" t="s">
        <v>365</v>
      </c>
      <c r="I9" s="22" t="n">
        <v>150000</v>
      </c>
    </row>
    <row r="10" customFormat="false" ht="15" hidden="false" customHeight="false" outlineLevel="0" collapsed="false">
      <c r="A10" s="66" t="s">
        <v>3</v>
      </c>
      <c r="B10" s="20" t="s">
        <v>337</v>
      </c>
      <c r="C10" s="20" t="s">
        <v>376</v>
      </c>
      <c r="D10" s="20" t="s">
        <v>377</v>
      </c>
      <c r="E10" s="20" t="s">
        <v>368</v>
      </c>
      <c r="F10" s="20" t="s">
        <v>378</v>
      </c>
      <c r="G10" s="20" t="s">
        <v>379</v>
      </c>
      <c r="H10" s="20" t="s">
        <v>380</v>
      </c>
      <c r="I10" s="22" t="n">
        <v>81387</v>
      </c>
    </row>
    <row r="11" customFormat="false" ht="15" hidden="false" customHeight="false" outlineLevel="0" collapsed="false">
      <c r="A11" s="66" t="s">
        <v>3</v>
      </c>
      <c r="B11" s="20" t="s">
        <v>337</v>
      </c>
      <c r="C11" s="20" t="s">
        <v>381</v>
      </c>
      <c r="D11" s="20" t="s">
        <v>382</v>
      </c>
      <c r="E11" s="20" t="s">
        <v>383</v>
      </c>
      <c r="F11" s="20" t="s">
        <v>384</v>
      </c>
      <c r="G11" s="20" t="s">
        <v>381</v>
      </c>
      <c r="H11" s="20" t="s">
        <v>359</v>
      </c>
      <c r="I11" s="22" t="n">
        <v>150000</v>
      </c>
    </row>
    <row r="12" customFormat="false" ht="15" hidden="false" customHeight="false" outlineLevel="0" collapsed="false">
      <c r="A12" s="66" t="s">
        <v>3</v>
      </c>
      <c r="B12" s="20" t="s">
        <v>337</v>
      </c>
      <c r="C12" s="20" t="s">
        <v>385</v>
      </c>
      <c r="D12" s="20" t="s">
        <v>386</v>
      </c>
      <c r="E12" s="20" t="s">
        <v>387</v>
      </c>
      <c r="F12" s="20" t="s">
        <v>388</v>
      </c>
      <c r="G12" s="20" t="s">
        <v>385</v>
      </c>
      <c r="H12" s="20" t="s">
        <v>389</v>
      </c>
      <c r="I12" s="22" t="n">
        <v>103565</v>
      </c>
    </row>
    <row r="13" customFormat="false" ht="15" hidden="false" customHeight="false" outlineLevel="0" collapsed="false">
      <c r="A13" s="66" t="s">
        <v>3</v>
      </c>
      <c r="B13" s="20" t="s">
        <v>337</v>
      </c>
      <c r="C13" s="20" t="s">
        <v>390</v>
      </c>
      <c r="D13" s="20" t="s">
        <v>391</v>
      </c>
      <c r="E13" s="20" t="s">
        <v>392</v>
      </c>
      <c r="F13" s="20" t="s">
        <v>357</v>
      </c>
      <c r="G13" s="20" t="s">
        <v>358</v>
      </c>
      <c r="H13" s="20" t="s">
        <v>359</v>
      </c>
      <c r="I13" s="22" t="n">
        <v>150000</v>
      </c>
    </row>
    <row r="14" customFormat="false" ht="22.35" hidden="false" customHeight="false" outlineLevel="0" collapsed="false">
      <c r="A14" s="66" t="s">
        <v>3</v>
      </c>
      <c r="B14" s="20" t="s">
        <v>337</v>
      </c>
      <c r="C14" s="20" t="s">
        <v>393</v>
      </c>
      <c r="D14" s="20" t="s">
        <v>394</v>
      </c>
      <c r="E14" s="20" t="s">
        <v>395</v>
      </c>
      <c r="F14" s="20" t="s">
        <v>396</v>
      </c>
      <c r="G14" s="20" t="s">
        <v>393</v>
      </c>
      <c r="H14" s="20" t="s">
        <v>343</v>
      </c>
      <c r="I14" s="22" t="n">
        <v>105553</v>
      </c>
    </row>
    <row r="15" customFormat="false" ht="15" hidden="false" customHeight="false" outlineLevel="0" collapsed="false">
      <c r="A15" s="66" t="s">
        <v>3</v>
      </c>
      <c r="B15" s="20" t="s">
        <v>337</v>
      </c>
      <c r="C15" s="20" t="s">
        <v>397</v>
      </c>
      <c r="D15" s="20" t="s">
        <v>398</v>
      </c>
      <c r="E15" s="20" t="s">
        <v>399</v>
      </c>
      <c r="F15" s="20" t="s">
        <v>400</v>
      </c>
      <c r="G15" s="20" t="s">
        <v>397</v>
      </c>
      <c r="H15" s="20" t="s">
        <v>401</v>
      </c>
      <c r="I15" s="22" t="n">
        <v>150000</v>
      </c>
    </row>
    <row r="16" customFormat="false" ht="22.35" hidden="false" customHeight="false" outlineLevel="0" collapsed="false">
      <c r="A16" s="66" t="s">
        <v>3</v>
      </c>
      <c r="B16" s="20" t="s">
        <v>337</v>
      </c>
      <c r="C16" s="20" t="s">
        <v>402</v>
      </c>
      <c r="D16" s="20" t="s">
        <v>403</v>
      </c>
      <c r="E16" s="20" t="s">
        <v>404</v>
      </c>
      <c r="F16" s="20" t="s">
        <v>405</v>
      </c>
      <c r="G16" s="20" t="s">
        <v>406</v>
      </c>
      <c r="H16" s="20" t="s">
        <v>407</v>
      </c>
      <c r="I16" s="22" t="n">
        <v>41315</v>
      </c>
    </row>
    <row r="17" customFormat="false" ht="15" hidden="false" customHeight="false" outlineLevel="0" collapsed="false">
      <c r="A17" s="66" t="s">
        <v>3</v>
      </c>
      <c r="B17" s="20" t="s">
        <v>337</v>
      </c>
      <c r="C17" s="20" t="s">
        <v>408</v>
      </c>
      <c r="D17" s="20" t="s">
        <v>409</v>
      </c>
      <c r="E17" s="20" t="s">
        <v>368</v>
      </c>
      <c r="F17" s="20" t="s">
        <v>410</v>
      </c>
      <c r="G17" s="20" t="s">
        <v>379</v>
      </c>
      <c r="H17" s="20" t="s">
        <v>380</v>
      </c>
      <c r="I17" s="22" t="n">
        <v>55405</v>
      </c>
    </row>
    <row r="18" customFormat="false" ht="15" hidden="false" customHeight="false" outlineLevel="0" collapsed="false">
      <c r="A18" s="66" t="s">
        <v>3</v>
      </c>
      <c r="B18" s="20" t="s">
        <v>337</v>
      </c>
      <c r="C18" s="20" t="s">
        <v>411</v>
      </c>
      <c r="D18" s="20" t="s">
        <v>412</v>
      </c>
      <c r="E18" s="20" t="s">
        <v>387</v>
      </c>
      <c r="F18" s="20" t="s">
        <v>413</v>
      </c>
      <c r="G18" s="20" t="s">
        <v>411</v>
      </c>
      <c r="H18" s="20" t="s">
        <v>348</v>
      </c>
      <c r="I18" s="22" t="n">
        <v>31018</v>
      </c>
    </row>
    <row r="19" customFormat="false" ht="15" hidden="false" customHeight="false" outlineLevel="0" collapsed="false">
      <c r="A19" s="66" t="s">
        <v>3</v>
      </c>
      <c r="B19" s="20" t="s">
        <v>337</v>
      </c>
      <c r="C19" s="20" t="s">
        <v>414</v>
      </c>
      <c r="D19" s="20" t="s">
        <v>415</v>
      </c>
      <c r="E19" s="20" t="s">
        <v>395</v>
      </c>
      <c r="F19" s="20" t="s">
        <v>416</v>
      </c>
      <c r="G19" s="20" t="s">
        <v>417</v>
      </c>
      <c r="H19" s="20" t="s">
        <v>418</v>
      </c>
      <c r="I19" s="22" t="n">
        <v>150000</v>
      </c>
    </row>
    <row r="20" customFormat="false" ht="15" hidden="false" customHeight="false" outlineLevel="0" collapsed="false">
      <c r="A20" s="66" t="s">
        <v>3</v>
      </c>
      <c r="B20" s="20" t="s">
        <v>337</v>
      </c>
      <c r="C20" s="20" t="s">
        <v>419</v>
      </c>
      <c r="D20" s="20" t="s">
        <v>420</v>
      </c>
      <c r="E20" s="20" t="s">
        <v>421</v>
      </c>
      <c r="F20" s="20" t="s">
        <v>422</v>
      </c>
      <c r="G20" s="20" t="s">
        <v>423</v>
      </c>
      <c r="H20" s="20" t="s">
        <v>424</v>
      </c>
      <c r="I20" s="22" t="n">
        <v>39980</v>
      </c>
    </row>
    <row r="21" customFormat="false" ht="15" hidden="false" customHeight="false" outlineLevel="0" collapsed="false">
      <c r="A21" s="67" t="s">
        <v>5</v>
      </c>
      <c r="B21" s="24" t="s">
        <v>425</v>
      </c>
      <c r="C21" s="24" t="s">
        <v>426</v>
      </c>
      <c r="D21" s="24" t="s">
        <v>427</v>
      </c>
      <c r="E21" s="24" t="s">
        <v>428</v>
      </c>
      <c r="F21" s="24" t="s">
        <v>357</v>
      </c>
      <c r="G21" s="24" t="s">
        <v>358</v>
      </c>
      <c r="H21" s="24" t="s">
        <v>359</v>
      </c>
      <c r="I21" s="26" t="n">
        <v>16000</v>
      </c>
    </row>
    <row r="22" customFormat="false" ht="15" hidden="false" customHeight="false" outlineLevel="0" collapsed="false">
      <c r="A22" s="68" t="s">
        <v>9</v>
      </c>
      <c r="B22" s="28" t="s">
        <v>425</v>
      </c>
      <c r="C22" s="28" t="s">
        <v>429</v>
      </c>
      <c r="D22" s="28" t="s">
        <v>430</v>
      </c>
      <c r="E22" s="28" t="s">
        <v>431</v>
      </c>
      <c r="F22" s="28" t="s">
        <v>341</v>
      </c>
      <c r="G22" s="28" t="s">
        <v>342</v>
      </c>
      <c r="H22" s="28" t="s">
        <v>343</v>
      </c>
      <c r="I22" s="30" t="n">
        <v>5500</v>
      </c>
    </row>
    <row r="23" customFormat="false" ht="15" hidden="false" customHeight="false" outlineLevel="0" collapsed="false">
      <c r="A23" s="67" t="s">
        <v>5</v>
      </c>
      <c r="B23" s="24" t="s">
        <v>425</v>
      </c>
      <c r="C23" s="24" t="s">
        <v>432</v>
      </c>
      <c r="D23" s="24" t="s">
        <v>433</v>
      </c>
      <c r="E23" s="24" t="s">
        <v>434</v>
      </c>
      <c r="F23" s="24" t="s">
        <v>341</v>
      </c>
      <c r="G23" s="24" t="s">
        <v>342</v>
      </c>
      <c r="H23" s="24" t="s">
        <v>343</v>
      </c>
      <c r="I23" s="26" t="n">
        <v>12500</v>
      </c>
    </row>
    <row r="24" customFormat="false" ht="15" hidden="false" customHeight="false" outlineLevel="0" collapsed="false">
      <c r="A24" s="67" t="s">
        <v>5</v>
      </c>
      <c r="B24" s="24" t="s">
        <v>425</v>
      </c>
      <c r="C24" s="24" t="s">
        <v>435</v>
      </c>
      <c r="D24" s="24" t="s">
        <v>436</v>
      </c>
      <c r="E24" s="24" t="s">
        <v>437</v>
      </c>
      <c r="F24" s="24" t="s">
        <v>438</v>
      </c>
      <c r="G24" s="24" t="s">
        <v>439</v>
      </c>
      <c r="H24" s="24" t="s">
        <v>389</v>
      </c>
      <c r="I24" s="26" t="n">
        <v>20000</v>
      </c>
    </row>
    <row r="25" customFormat="false" ht="15" hidden="false" customHeight="false" outlineLevel="0" collapsed="false">
      <c r="A25" s="68" t="s">
        <v>9</v>
      </c>
      <c r="B25" s="28" t="s">
        <v>425</v>
      </c>
      <c r="C25" s="28" t="s">
        <v>440</v>
      </c>
      <c r="D25" s="28" t="s">
        <v>441</v>
      </c>
      <c r="E25" s="28" t="s">
        <v>431</v>
      </c>
      <c r="F25" s="28" t="s">
        <v>442</v>
      </c>
      <c r="G25" s="28" t="s">
        <v>443</v>
      </c>
      <c r="H25" s="28" t="s">
        <v>359</v>
      </c>
      <c r="I25" s="30" t="n">
        <v>15477</v>
      </c>
    </row>
    <row r="26" customFormat="false" ht="15" hidden="false" customHeight="false" outlineLevel="0" collapsed="false">
      <c r="A26" s="67" t="s">
        <v>5</v>
      </c>
      <c r="B26" s="24" t="s">
        <v>425</v>
      </c>
      <c r="C26" s="24" t="s">
        <v>444</v>
      </c>
      <c r="D26" s="24" t="s">
        <v>445</v>
      </c>
      <c r="E26" s="24" t="s">
        <v>437</v>
      </c>
      <c r="F26" s="24" t="s">
        <v>446</v>
      </c>
      <c r="G26" s="24" t="s">
        <v>423</v>
      </c>
      <c r="H26" s="24" t="s">
        <v>424</v>
      </c>
      <c r="I26" s="26" t="n">
        <v>12080</v>
      </c>
    </row>
    <row r="27" customFormat="false" ht="15" hidden="false" customHeight="false" outlineLevel="0" collapsed="false">
      <c r="A27" s="67" t="s">
        <v>5</v>
      </c>
      <c r="B27" s="24" t="s">
        <v>425</v>
      </c>
      <c r="C27" s="24" t="s">
        <v>444</v>
      </c>
      <c r="D27" s="24" t="s">
        <v>447</v>
      </c>
      <c r="E27" s="24" t="s">
        <v>448</v>
      </c>
      <c r="F27" s="24" t="s">
        <v>422</v>
      </c>
      <c r="G27" s="24" t="s">
        <v>423</v>
      </c>
      <c r="H27" s="24" t="s">
        <v>424</v>
      </c>
      <c r="I27" s="26" t="n">
        <v>20000</v>
      </c>
    </row>
    <row r="28" customFormat="false" ht="15" hidden="false" customHeight="false" outlineLevel="0" collapsed="false">
      <c r="A28" s="67" t="s">
        <v>5</v>
      </c>
      <c r="B28" s="24" t="s">
        <v>425</v>
      </c>
      <c r="C28" s="24" t="s">
        <v>449</v>
      </c>
      <c r="D28" s="24" t="s">
        <v>450</v>
      </c>
      <c r="E28" s="24" t="s">
        <v>434</v>
      </c>
      <c r="F28" s="24" t="s">
        <v>451</v>
      </c>
      <c r="G28" s="24" t="s">
        <v>452</v>
      </c>
      <c r="H28" s="24" t="s">
        <v>389</v>
      </c>
      <c r="I28" s="26" t="n">
        <v>5100</v>
      </c>
    </row>
    <row r="29" customFormat="false" ht="15" hidden="false" customHeight="false" outlineLevel="0" collapsed="false">
      <c r="A29" s="68" t="s">
        <v>9</v>
      </c>
      <c r="B29" s="28" t="s">
        <v>425</v>
      </c>
      <c r="C29" s="28" t="s">
        <v>453</v>
      </c>
      <c r="D29" s="28" t="s">
        <v>454</v>
      </c>
      <c r="E29" s="28" t="s">
        <v>455</v>
      </c>
      <c r="F29" s="28" t="s">
        <v>456</v>
      </c>
      <c r="G29" s="28" t="s">
        <v>457</v>
      </c>
      <c r="H29" s="28" t="s">
        <v>365</v>
      </c>
      <c r="I29" s="30" t="n">
        <v>20000</v>
      </c>
    </row>
    <row r="30" customFormat="false" ht="15" hidden="false" customHeight="false" outlineLevel="0" collapsed="false">
      <c r="A30" s="67" t="s">
        <v>5</v>
      </c>
      <c r="B30" s="24" t="s">
        <v>425</v>
      </c>
      <c r="C30" s="24" t="s">
        <v>458</v>
      </c>
      <c r="D30" s="24" t="s">
        <v>459</v>
      </c>
      <c r="E30" s="24" t="s">
        <v>428</v>
      </c>
      <c r="F30" s="24" t="s">
        <v>460</v>
      </c>
      <c r="G30" s="24" t="s">
        <v>461</v>
      </c>
      <c r="H30" s="24" t="s">
        <v>462</v>
      </c>
      <c r="I30" s="26" t="n">
        <v>8000</v>
      </c>
    </row>
    <row r="31" customFormat="false" ht="15" hidden="false" customHeight="false" outlineLevel="0" collapsed="false">
      <c r="A31" s="68" t="s">
        <v>9</v>
      </c>
      <c r="B31" s="28" t="s">
        <v>425</v>
      </c>
      <c r="C31" s="28" t="s">
        <v>463</v>
      </c>
      <c r="D31" s="28" t="s">
        <v>464</v>
      </c>
      <c r="E31" s="28" t="s">
        <v>465</v>
      </c>
      <c r="F31" s="28" t="s">
        <v>466</v>
      </c>
      <c r="G31" s="28" t="s">
        <v>349</v>
      </c>
      <c r="H31" s="28" t="s">
        <v>353</v>
      </c>
      <c r="I31" s="30" t="n">
        <v>20000</v>
      </c>
    </row>
    <row r="32" customFormat="false" ht="15" hidden="false" customHeight="false" outlineLevel="0" collapsed="false">
      <c r="A32" s="67" t="s">
        <v>5</v>
      </c>
      <c r="B32" s="24" t="s">
        <v>425</v>
      </c>
      <c r="C32" s="24" t="s">
        <v>467</v>
      </c>
      <c r="D32" s="24" t="s">
        <v>468</v>
      </c>
      <c r="E32" s="24" t="s">
        <v>448</v>
      </c>
      <c r="F32" s="24" t="s">
        <v>466</v>
      </c>
      <c r="G32" s="24" t="s">
        <v>349</v>
      </c>
      <c r="H32" s="24" t="s">
        <v>353</v>
      </c>
      <c r="I32" s="26" t="n">
        <v>17058</v>
      </c>
    </row>
    <row r="33" customFormat="false" ht="15" hidden="false" customHeight="false" outlineLevel="0" collapsed="false">
      <c r="A33" s="67" t="s">
        <v>5</v>
      </c>
      <c r="B33" s="24" t="s">
        <v>425</v>
      </c>
      <c r="C33" s="24" t="s">
        <v>469</v>
      </c>
      <c r="D33" s="24" t="s">
        <v>470</v>
      </c>
      <c r="E33" s="24" t="s">
        <v>428</v>
      </c>
      <c r="F33" s="24" t="s">
        <v>471</v>
      </c>
      <c r="G33" s="24" t="s">
        <v>472</v>
      </c>
      <c r="H33" s="24" t="s">
        <v>407</v>
      </c>
      <c r="I33" s="26" t="n">
        <v>14410</v>
      </c>
    </row>
    <row r="34" customFormat="false" ht="15" hidden="false" customHeight="false" outlineLevel="0" collapsed="false">
      <c r="A34" s="67" t="s">
        <v>5</v>
      </c>
      <c r="B34" s="24" t="s">
        <v>425</v>
      </c>
      <c r="C34" s="24" t="s">
        <v>473</v>
      </c>
      <c r="D34" s="24" t="s">
        <v>474</v>
      </c>
      <c r="E34" s="24" t="s">
        <v>455</v>
      </c>
      <c r="F34" s="24" t="s">
        <v>475</v>
      </c>
      <c r="G34" s="24" t="s">
        <v>472</v>
      </c>
      <c r="H34" s="24" t="s">
        <v>407</v>
      </c>
      <c r="I34" s="26" t="n">
        <v>9474</v>
      </c>
    </row>
    <row r="35" customFormat="false" ht="15" hidden="false" customHeight="false" outlineLevel="0" collapsed="false">
      <c r="A35" s="67" t="s">
        <v>5</v>
      </c>
      <c r="B35" s="24" t="s">
        <v>425</v>
      </c>
      <c r="C35" s="24" t="s">
        <v>476</v>
      </c>
      <c r="D35" s="24" t="s">
        <v>477</v>
      </c>
      <c r="E35" s="24" t="s">
        <v>455</v>
      </c>
      <c r="F35" s="24" t="s">
        <v>460</v>
      </c>
      <c r="G35" s="24" t="s">
        <v>461</v>
      </c>
      <c r="H35" s="24" t="s">
        <v>478</v>
      </c>
      <c r="I35" s="26" t="n">
        <v>18750</v>
      </c>
    </row>
    <row r="36" customFormat="false" ht="15" hidden="false" customHeight="false" outlineLevel="0" collapsed="false">
      <c r="A36" s="67" t="s">
        <v>5</v>
      </c>
      <c r="B36" s="24" t="s">
        <v>425</v>
      </c>
      <c r="C36" s="24" t="s">
        <v>476</v>
      </c>
      <c r="D36" s="24" t="s">
        <v>479</v>
      </c>
      <c r="E36" s="24" t="s">
        <v>434</v>
      </c>
      <c r="F36" s="24" t="s">
        <v>460</v>
      </c>
      <c r="G36" s="24" t="s">
        <v>461</v>
      </c>
      <c r="H36" s="24" t="s">
        <v>478</v>
      </c>
      <c r="I36" s="26" t="n">
        <v>15000</v>
      </c>
    </row>
    <row r="37" customFormat="false" ht="15" hidden="false" customHeight="false" outlineLevel="0" collapsed="false">
      <c r="A37" s="68" t="s">
        <v>9</v>
      </c>
      <c r="B37" s="28" t="s">
        <v>425</v>
      </c>
      <c r="C37" s="28" t="s">
        <v>480</v>
      </c>
      <c r="D37" s="28" t="s">
        <v>481</v>
      </c>
      <c r="E37" s="28" t="s">
        <v>482</v>
      </c>
      <c r="F37" s="28" t="s">
        <v>416</v>
      </c>
      <c r="G37" s="28" t="s">
        <v>417</v>
      </c>
      <c r="H37" s="28" t="s">
        <v>418</v>
      </c>
      <c r="I37" s="30" t="n">
        <v>14601</v>
      </c>
    </row>
    <row r="38" customFormat="false" ht="15" hidden="false" customHeight="false" outlineLevel="0" collapsed="false">
      <c r="A38" s="67" t="s">
        <v>5</v>
      </c>
      <c r="B38" s="24" t="s">
        <v>425</v>
      </c>
      <c r="C38" s="24" t="s">
        <v>483</v>
      </c>
      <c r="D38" s="24" t="s">
        <v>484</v>
      </c>
      <c r="E38" s="24" t="s">
        <v>448</v>
      </c>
      <c r="F38" s="24" t="s">
        <v>485</v>
      </c>
      <c r="G38" s="24" t="s">
        <v>411</v>
      </c>
      <c r="H38" s="24" t="s">
        <v>348</v>
      </c>
      <c r="I38" s="26" t="n">
        <v>20000</v>
      </c>
    </row>
    <row r="39" customFormat="false" ht="15" hidden="false" customHeight="false" outlineLevel="0" collapsed="false">
      <c r="A39" s="67" t="s">
        <v>5</v>
      </c>
      <c r="B39" s="24" t="s">
        <v>425</v>
      </c>
      <c r="C39" s="24" t="s">
        <v>483</v>
      </c>
      <c r="D39" s="24" t="s">
        <v>486</v>
      </c>
      <c r="E39" s="24" t="s">
        <v>434</v>
      </c>
      <c r="F39" s="24" t="s">
        <v>487</v>
      </c>
      <c r="G39" s="24" t="s">
        <v>488</v>
      </c>
      <c r="H39" s="24" t="s">
        <v>348</v>
      </c>
      <c r="I39" s="26" t="n">
        <v>20000</v>
      </c>
    </row>
    <row r="40" customFormat="false" ht="15" hidden="false" customHeight="false" outlineLevel="0" collapsed="false">
      <c r="A40" s="67" t="s">
        <v>5</v>
      </c>
      <c r="B40" s="24" t="s">
        <v>425</v>
      </c>
      <c r="C40" s="24" t="s">
        <v>489</v>
      </c>
      <c r="D40" s="24" t="s">
        <v>490</v>
      </c>
      <c r="E40" s="24" t="s">
        <v>448</v>
      </c>
      <c r="F40" s="24" t="s">
        <v>491</v>
      </c>
      <c r="G40" s="24" t="s">
        <v>492</v>
      </c>
      <c r="H40" s="24" t="s">
        <v>493</v>
      </c>
      <c r="I40" s="26" t="n">
        <v>15000</v>
      </c>
    </row>
    <row r="41" customFormat="false" ht="15" hidden="false" customHeight="false" outlineLevel="0" collapsed="false">
      <c r="G41" s="69" t="s">
        <v>494</v>
      </c>
    </row>
    <row r="42" customFormat="false" ht="15" hidden="false" customHeight="false" outlineLevel="0" collapsed="false">
      <c r="F42" s="70" t="s">
        <v>495</v>
      </c>
      <c r="G42" s="69" t="n">
        <f aca="false">COUNTIFS(B3:B40,"1")</f>
        <v>18</v>
      </c>
      <c r="I42" s="71" t="n">
        <f aca="false">SUMIFS(I3:I40,B3:B40,"1")</f>
        <v>1851050</v>
      </c>
    </row>
    <row r="43" customFormat="false" ht="15" hidden="false" customHeight="false" outlineLevel="0" collapsed="false">
      <c r="F43" s="72" t="s">
        <v>496</v>
      </c>
      <c r="G43" s="69" t="n">
        <f aca="false">COUNTIFS(B3:B40,"2")</f>
        <v>20</v>
      </c>
      <c r="I43" s="71" t="n">
        <f aca="false">SUMIFS(I3:I40,B3:B40,"2")</f>
        <v>298950</v>
      </c>
    </row>
    <row r="44" customFormat="false" ht="15" hidden="false" customHeight="false" outlineLevel="0" collapsed="false">
      <c r="F44" s="69" t="s">
        <v>497</v>
      </c>
      <c r="G44" s="69" t="n">
        <f aca="false">COUNTA(C3:C40)</f>
        <v>38</v>
      </c>
      <c r="I44" s="71" t="n">
        <f aca="false">SUM(I3:I40)</f>
        <v>2150000</v>
      </c>
    </row>
    <row r="46" customFormat="false" ht="15" hidden="false" customHeight="false" outlineLevel="0" collapsed="false">
      <c r="A46" s="69" t="s">
        <v>498</v>
      </c>
    </row>
    <row r="47" customFormat="false" ht="15" hidden="false" customHeight="false" outlineLevel="0" collapsed="false">
      <c r="A47" s="73" t="s">
        <v>499</v>
      </c>
    </row>
    <row r="48" customFormat="false" ht="15" hidden="false" customHeight="false" outlineLevel="0" collapsed="false">
      <c r="A48" s="73" t="s">
        <v>500</v>
      </c>
    </row>
    <row r="49" customFormat="false" ht="15" hidden="false" customHeight="false" outlineLevel="0" collapsed="false">
      <c r="A49" s="73" t="s">
        <v>501</v>
      </c>
    </row>
    <row r="50" customFormat="false" ht="15" hidden="false" customHeight="false" outlineLevel="0" collapsed="false">
      <c r="A50" s="73" t="s">
        <v>502</v>
      </c>
    </row>
  </sheetData>
  <autoFilter ref="A2:I40"/>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6"/>
    <col collapsed="false" customWidth="true" hidden="false" outlineLevel="0" max="4" min="4" style="0" width="22"/>
    <col collapsed="false" customWidth="true" hidden="false" outlineLevel="0" max="5" min="5" style="0" width="45"/>
    <col collapsed="false" customWidth="true" hidden="false" outlineLevel="0" max="8" min="6" style="0" width="11"/>
    <col collapsed="false" customWidth="true" hidden="false" outlineLevel="0" max="9" min="9" style="0" width="12"/>
    <col collapsed="false" customWidth="true" hidden="false" outlineLevel="0" max="10" min="10" style="0" width="28"/>
    <col collapsed="false" customWidth="true" hidden="false" outlineLevel="0" max="11" min="11" style="0" width="26"/>
    <col collapsed="false" customWidth="true" hidden="false" outlineLevel="0" max="12" min="12" style="0" width="13"/>
    <col collapsed="false" customWidth="true" hidden="false" outlineLevel="0" max="13" min="13" style="0" width="22"/>
    <col collapsed="false" customWidth="true" hidden="false" outlineLevel="0" max="14" min="14" style="0" width="55"/>
  </cols>
  <sheetData>
    <row r="1" customFormat="false" ht="30" hidden="false" customHeight="true" outlineLevel="0" collapsed="false">
      <c r="A1" s="63" t="s">
        <v>503</v>
      </c>
      <c r="B1" s="63"/>
      <c r="C1" s="63"/>
      <c r="D1" s="63"/>
      <c r="E1" s="63"/>
      <c r="F1" s="63"/>
      <c r="G1" s="63"/>
      <c r="H1" s="63"/>
      <c r="I1" s="63"/>
      <c r="J1" s="63"/>
      <c r="K1" s="63"/>
      <c r="L1" s="63"/>
      <c r="M1" s="63"/>
      <c r="N1" s="63"/>
    </row>
    <row r="2" customFormat="false" ht="35.05" hidden="false" customHeight="false" outlineLevel="0" collapsed="false">
      <c r="A2" s="19" t="s">
        <v>277</v>
      </c>
      <c r="B2" s="19" t="s">
        <v>504</v>
      </c>
      <c r="C2" s="19" t="s">
        <v>505</v>
      </c>
      <c r="D2" s="19" t="s">
        <v>506</v>
      </c>
      <c r="E2" s="19" t="s">
        <v>507</v>
      </c>
      <c r="F2" s="19" t="s">
        <v>508</v>
      </c>
      <c r="G2" s="19" t="s">
        <v>509</v>
      </c>
      <c r="H2" s="19" t="s">
        <v>510</v>
      </c>
      <c r="I2" s="19" t="s">
        <v>511</v>
      </c>
      <c r="J2" s="19" t="s">
        <v>512</v>
      </c>
      <c r="K2" s="19" t="s">
        <v>513</v>
      </c>
      <c r="L2" s="19" t="s">
        <v>514</v>
      </c>
      <c r="M2" s="19" t="s">
        <v>515</v>
      </c>
      <c r="N2" s="19" t="s">
        <v>516</v>
      </c>
    </row>
    <row r="3" customFormat="false" ht="85.05" hidden="false" customHeight="false" outlineLevel="0" collapsed="false">
      <c r="A3" s="32"/>
      <c r="B3" s="32"/>
      <c r="C3" s="32" t="s">
        <v>517</v>
      </c>
      <c r="D3" s="32" t="s">
        <v>518</v>
      </c>
      <c r="E3" s="32" t="s">
        <v>519</v>
      </c>
      <c r="F3" s="74" t="n">
        <v>65000</v>
      </c>
      <c r="G3" s="74" t="n">
        <v>65000</v>
      </c>
      <c r="H3" s="74" t="n">
        <v>65000</v>
      </c>
      <c r="I3" s="74" t="n">
        <f aca="false">IF(COUNT(F3:H3)=0,"",SUM(F3:H3))</f>
        <v>195000</v>
      </c>
      <c r="J3" s="32" t="s">
        <v>520</v>
      </c>
      <c r="K3" s="32" t="s">
        <v>521</v>
      </c>
      <c r="L3" s="32" t="s">
        <v>522</v>
      </c>
      <c r="M3" s="32" t="s">
        <v>523</v>
      </c>
      <c r="N3" s="32" t="s">
        <v>524</v>
      </c>
    </row>
    <row r="4" customFormat="false" ht="116.4" hidden="false" customHeight="false" outlineLevel="0" collapsed="false">
      <c r="A4" s="75" t="s">
        <v>11</v>
      </c>
      <c r="B4" s="75" t="s">
        <v>525</v>
      </c>
      <c r="C4" s="75" t="s">
        <v>517</v>
      </c>
      <c r="D4" s="75" t="s">
        <v>526</v>
      </c>
      <c r="E4" s="75" t="s">
        <v>527</v>
      </c>
      <c r="F4" s="76" t="n">
        <v>55000</v>
      </c>
      <c r="G4" s="76" t="n">
        <v>65000</v>
      </c>
      <c r="H4" s="76" t="n">
        <v>65000</v>
      </c>
      <c r="I4" s="76" t="n">
        <f aca="false">IF(COUNT(F4:H4)=0,"",SUM(F4:H4))</f>
        <v>185000</v>
      </c>
      <c r="J4" s="75" t="s">
        <v>528</v>
      </c>
      <c r="K4" s="75" t="s">
        <v>529</v>
      </c>
      <c r="L4" s="75" t="s">
        <v>522</v>
      </c>
      <c r="M4" s="75" t="s">
        <v>523</v>
      </c>
      <c r="N4" s="75" t="s">
        <v>530</v>
      </c>
    </row>
    <row r="5" customFormat="false" ht="95.5" hidden="false" customHeight="false" outlineLevel="0" collapsed="false">
      <c r="A5" s="75" t="s">
        <v>11</v>
      </c>
      <c r="B5" s="75" t="s">
        <v>531</v>
      </c>
      <c r="C5" s="75" t="s">
        <v>517</v>
      </c>
      <c r="D5" s="75" t="s">
        <v>532</v>
      </c>
      <c r="E5" s="75" t="s">
        <v>533</v>
      </c>
      <c r="F5" s="76" t="n">
        <v>45000</v>
      </c>
      <c r="G5" s="76" t="n">
        <v>45000</v>
      </c>
      <c r="H5" s="76" t="n">
        <v>45000</v>
      </c>
      <c r="I5" s="76" t="n">
        <f aca="false">IF(COUNT(F5:H5)=0,"",SUM(F5:H5))</f>
        <v>135000</v>
      </c>
      <c r="J5" s="75" t="s">
        <v>534</v>
      </c>
      <c r="K5" s="75" t="s">
        <v>535</v>
      </c>
      <c r="L5" s="75" t="s">
        <v>522</v>
      </c>
      <c r="M5" s="75" t="s">
        <v>536</v>
      </c>
      <c r="N5" s="75" t="s">
        <v>537</v>
      </c>
    </row>
    <row r="6" customFormat="false" ht="64.15" hidden="false" customHeight="false" outlineLevel="0" collapsed="false">
      <c r="A6" s="75" t="s">
        <v>11</v>
      </c>
      <c r="B6" s="75" t="s">
        <v>538</v>
      </c>
      <c r="C6" s="75" t="s">
        <v>517</v>
      </c>
      <c r="D6" s="75" t="s">
        <v>539</v>
      </c>
      <c r="E6" s="75" t="s">
        <v>540</v>
      </c>
      <c r="F6" s="76" t="n">
        <v>85000</v>
      </c>
      <c r="G6" s="76" t="n">
        <v>75000</v>
      </c>
      <c r="H6" s="76" t="n">
        <v>65000</v>
      </c>
      <c r="I6" s="76" t="n">
        <f aca="false">IF(COUNT(F6:H6)=0,"",SUM(F6:H6))</f>
        <v>225000</v>
      </c>
      <c r="J6" s="75" t="s">
        <v>541</v>
      </c>
      <c r="K6" s="75" t="s">
        <v>542</v>
      </c>
      <c r="L6" s="75" t="s">
        <v>543</v>
      </c>
      <c r="M6" s="75" t="s">
        <v>544</v>
      </c>
      <c r="N6" s="75" t="s">
        <v>545</v>
      </c>
    </row>
    <row r="7" customFormat="false" ht="32.8" hidden="false" customHeight="false" outlineLevel="0" collapsed="false">
      <c r="A7" s="75" t="s">
        <v>11</v>
      </c>
      <c r="B7" s="75" t="s">
        <v>546</v>
      </c>
      <c r="C7" s="75" t="s">
        <v>517</v>
      </c>
      <c r="D7" s="75" t="s">
        <v>547</v>
      </c>
      <c r="E7" s="75" t="s">
        <v>548</v>
      </c>
      <c r="F7" s="76" t="n">
        <v>75000</v>
      </c>
      <c r="G7" s="76" t="n">
        <v>75000</v>
      </c>
      <c r="H7" s="76" t="n">
        <v>75000</v>
      </c>
      <c r="I7" s="76" t="n">
        <f aca="false">IF(COUNT(F7:H7)=0,"",SUM(F7:H7))</f>
        <v>225000</v>
      </c>
      <c r="J7" s="75" t="s">
        <v>549</v>
      </c>
      <c r="K7" s="75" t="s">
        <v>550</v>
      </c>
      <c r="L7" s="75" t="s">
        <v>551</v>
      </c>
      <c r="M7" s="75" t="s">
        <v>552</v>
      </c>
      <c r="N7" s="75" t="s">
        <v>545</v>
      </c>
    </row>
    <row r="8" customFormat="false" ht="137.3" hidden="false" customHeight="false" outlineLevel="0" collapsed="false">
      <c r="A8" s="77" t="s">
        <v>7</v>
      </c>
      <c r="B8" s="78" t="s">
        <v>553</v>
      </c>
      <c r="C8" s="78" t="s">
        <v>554</v>
      </c>
      <c r="D8" s="78" t="s">
        <v>555</v>
      </c>
      <c r="E8" s="78" t="s">
        <v>556</v>
      </c>
      <c r="F8" s="79" t="n">
        <v>55000</v>
      </c>
      <c r="G8" s="79" t="n">
        <v>55000</v>
      </c>
      <c r="H8" s="79" t="n">
        <v>55000</v>
      </c>
      <c r="I8" s="79" t="n">
        <f aca="false">IF(COUNT(F8:H8)=0,"",SUM(F8:H8))</f>
        <v>165000</v>
      </c>
      <c r="J8" s="78" t="s">
        <v>557</v>
      </c>
      <c r="K8" s="78" t="s">
        <v>558</v>
      </c>
      <c r="L8" s="78" t="s">
        <v>522</v>
      </c>
      <c r="M8" s="78" t="s">
        <v>523</v>
      </c>
      <c r="N8" s="78" t="s">
        <v>559</v>
      </c>
    </row>
    <row r="9" customFormat="false" ht="85.05" hidden="false" customHeight="false" outlineLevel="0" collapsed="false">
      <c r="A9" s="32"/>
      <c r="B9" s="32"/>
      <c r="C9" s="32" t="s">
        <v>517</v>
      </c>
      <c r="D9" s="32" t="s">
        <v>560</v>
      </c>
      <c r="E9" s="32" t="s">
        <v>561</v>
      </c>
      <c r="F9" s="74" t="n">
        <v>50000</v>
      </c>
      <c r="G9" s="74" t="n">
        <v>60000</v>
      </c>
      <c r="H9" s="74" t="n">
        <v>60000</v>
      </c>
      <c r="I9" s="74" t="n">
        <f aca="false">IF(COUNT(F9:H9)=0,"",SUM(F9:H9))</f>
        <v>170000</v>
      </c>
      <c r="J9" s="32" t="s">
        <v>562</v>
      </c>
      <c r="K9" s="32" t="s">
        <v>563</v>
      </c>
      <c r="L9" s="32" t="s">
        <v>522</v>
      </c>
      <c r="M9" s="32" t="s">
        <v>564</v>
      </c>
      <c r="N9" s="32" t="s">
        <v>565</v>
      </c>
    </row>
    <row r="10" customFormat="false" ht="64.15" hidden="false" customHeight="false" outlineLevel="0" collapsed="false">
      <c r="A10" s="32"/>
      <c r="B10" s="32"/>
      <c r="C10" s="32" t="s">
        <v>517</v>
      </c>
      <c r="D10" s="32" t="s">
        <v>566</v>
      </c>
      <c r="E10" s="32" t="s">
        <v>567</v>
      </c>
      <c r="F10" s="74" t="n">
        <v>10000</v>
      </c>
      <c r="G10" s="74" t="n">
        <v>20000</v>
      </c>
      <c r="H10" s="74" t="n">
        <v>55000</v>
      </c>
      <c r="I10" s="74" t="n">
        <f aca="false">IF(COUNT(F10:H10)=0,"",SUM(F10:H10))</f>
        <v>85000</v>
      </c>
      <c r="J10" s="32"/>
      <c r="K10" s="32"/>
      <c r="L10" s="32"/>
      <c r="M10" s="32"/>
      <c r="N10" s="32"/>
    </row>
    <row r="11" customFormat="false" ht="43.25" hidden="false" customHeight="false" outlineLevel="0" collapsed="false">
      <c r="A11" s="68" t="s">
        <v>9</v>
      </c>
      <c r="B11" s="28" t="s">
        <v>568</v>
      </c>
      <c r="C11" s="28" t="s">
        <v>569</v>
      </c>
      <c r="D11" s="28" t="s">
        <v>570</v>
      </c>
      <c r="E11" s="28" t="s">
        <v>571</v>
      </c>
      <c r="F11" s="80" t="n">
        <v>45000</v>
      </c>
      <c r="G11" s="80" t="n">
        <v>55000</v>
      </c>
      <c r="H11" s="80" t="n">
        <v>55000</v>
      </c>
      <c r="I11" s="80" t="n">
        <f aca="false">IF(COUNT(F11:H11)=0,"",SUM(F11:H11))</f>
        <v>155000</v>
      </c>
      <c r="J11" s="28" t="s">
        <v>572</v>
      </c>
      <c r="K11" s="28" t="s">
        <v>573</v>
      </c>
      <c r="L11" s="28" t="s">
        <v>522</v>
      </c>
      <c r="M11" s="28" t="s">
        <v>523</v>
      </c>
      <c r="N11" s="28" t="s">
        <v>574</v>
      </c>
    </row>
    <row r="12" customFormat="false" ht="85.05" hidden="false" customHeight="false" outlineLevel="0" collapsed="false">
      <c r="A12" s="68" t="s">
        <v>9</v>
      </c>
      <c r="B12" s="28" t="s">
        <v>575</v>
      </c>
      <c r="C12" s="28" t="s">
        <v>569</v>
      </c>
      <c r="D12" s="28" t="s">
        <v>576</v>
      </c>
      <c r="E12" s="28" t="s">
        <v>577</v>
      </c>
      <c r="F12" s="80" t="n">
        <v>80000</v>
      </c>
      <c r="G12" s="80" t="n">
        <v>80000</v>
      </c>
      <c r="H12" s="80" t="n">
        <v>80000</v>
      </c>
      <c r="I12" s="80" t="n">
        <f aca="false">IF(COUNT(F12:H12)=0,"",SUM(F12:H12))</f>
        <v>240000</v>
      </c>
      <c r="J12" s="28"/>
      <c r="K12" s="28"/>
      <c r="L12" s="28"/>
      <c r="M12" s="28" t="s">
        <v>578</v>
      </c>
      <c r="N12" s="28"/>
    </row>
    <row r="13" customFormat="false" ht="74.6" hidden="false" customHeight="false" outlineLevel="0" collapsed="false">
      <c r="A13" s="68" t="s">
        <v>9</v>
      </c>
      <c r="B13" s="28" t="s">
        <v>579</v>
      </c>
      <c r="C13" s="28" t="s">
        <v>569</v>
      </c>
      <c r="D13" s="28" t="s">
        <v>580</v>
      </c>
      <c r="E13" s="28" t="s">
        <v>581</v>
      </c>
      <c r="F13" s="80" t="n">
        <v>25000</v>
      </c>
      <c r="G13" s="80" t="n">
        <v>25000</v>
      </c>
      <c r="H13" s="80" t="n">
        <v>25000</v>
      </c>
      <c r="I13" s="80" t="n">
        <f aca="false">IF(COUNT(F13:H13)=0,"",SUM(F13:H13))</f>
        <v>75000</v>
      </c>
      <c r="J13" s="28"/>
      <c r="K13" s="28"/>
      <c r="L13" s="28"/>
      <c r="M13" s="28"/>
      <c r="N13" s="28" t="s">
        <v>582</v>
      </c>
    </row>
    <row r="14" customFormat="false" ht="32.8" hidden="false" customHeight="false" outlineLevel="0" collapsed="false">
      <c r="A14" s="68" t="s">
        <v>9</v>
      </c>
      <c r="B14" s="28" t="s">
        <v>583</v>
      </c>
      <c r="C14" s="28" t="s">
        <v>569</v>
      </c>
      <c r="D14" s="28" t="s">
        <v>584</v>
      </c>
      <c r="E14" s="28" t="s">
        <v>585</v>
      </c>
      <c r="F14" s="80" t="n">
        <v>55000</v>
      </c>
      <c r="G14" s="80" t="n">
        <v>45000</v>
      </c>
      <c r="H14" s="80" t="n">
        <v>35000</v>
      </c>
      <c r="I14" s="80" t="n">
        <f aca="false">IF(COUNT(F14:H14)=0,"",SUM(F14:H14))</f>
        <v>135000</v>
      </c>
      <c r="J14" s="28"/>
      <c r="K14" s="28"/>
      <c r="L14" s="28"/>
      <c r="M14" s="28"/>
      <c r="N14" s="28"/>
    </row>
    <row r="15" customFormat="false" ht="32.8" hidden="false" customHeight="false" outlineLevel="0" collapsed="false">
      <c r="A15" s="68" t="s">
        <v>9</v>
      </c>
      <c r="B15" s="28" t="s">
        <v>586</v>
      </c>
      <c r="C15" s="28" t="s">
        <v>569</v>
      </c>
      <c r="D15" s="28" t="s">
        <v>587</v>
      </c>
      <c r="E15" s="28" t="s">
        <v>588</v>
      </c>
      <c r="F15" s="80" t="n">
        <v>42000</v>
      </c>
      <c r="G15" s="80" t="n">
        <v>55000</v>
      </c>
      <c r="H15" s="80" t="n">
        <v>55000</v>
      </c>
      <c r="I15" s="80" t="n">
        <f aca="false">IF(COUNT(F15:H15)=0,"",SUM(F15:H15))</f>
        <v>152000</v>
      </c>
      <c r="J15" s="28"/>
      <c r="K15" s="28" t="s">
        <v>589</v>
      </c>
      <c r="L15" s="28" t="s">
        <v>522</v>
      </c>
      <c r="M15" s="28" t="s">
        <v>590</v>
      </c>
      <c r="N15" s="28" t="s">
        <v>591</v>
      </c>
    </row>
    <row r="16" customFormat="false" ht="126.85" hidden="false" customHeight="false" outlineLevel="0" collapsed="false">
      <c r="A16" s="68" t="s">
        <v>9</v>
      </c>
      <c r="B16" s="28" t="s">
        <v>592</v>
      </c>
      <c r="C16" s="28" t="s">
        <v>569</v>
      </c>
      <c r="D16" s="28" t="s">
        <v>593</v>
      </c>
      <c r="E16" s="28" t="s">
        <v>594</v>
      </c>
      <c r="F16" s="80" t="n">
        <v>20000</v>
      </c>
      <c r="G16" s="80" t="n">
        <v>20000</v>
      </c>
      <c r="H16" s="80" t="n">
        <v>20000</v>
      </c>
      <c r="I16" s="80" t="n">
        <f aca="false">IF(COUNT(F16:H16)=0,"",SUM(F16:H16))</f>
        <v>60000</v>
      </c>
      <c r="J16" s="28"/>
      <c r="K16" s="28"/>
      <c r="L16" s="28"/>
      <c r="M16" s="28"/>
      <c r="N16" s="28"/>
    </row>
    <row r="17" customFormat="false" ht="53.7" hidden="false" customHeight="false" outlineLevel="0" collapsed="false">
      <c r="A17" s="68" t="s">
        <v>9</v>
      </c>
      <c r="B17" s="28" t="s">
        <v>595</v>
      </c>
      <c r="C17" s="28" t="s">
        <v>569</v>
      </c>
      <c r="D17" s="28" t="s">
        <v>596</v>
      </c>
      <c r="E17" s="28" t="s">
        <v>597</v>
      </c>
      <c r="F17" s="80" t="n">
        <v>40000</v>
      </c>
      <c r="G17" s="80" t="n">
        <v>50000</v>
      </c>
      <c r="H17" s="80" t="n">
        <v>50000</v>
      </c>
      <c r="I17" s="80" t="n">
        <f aca="false">IF(COUNT(F17:H17)=0,"",SUM(F17:H17))</f>
        <v>140000</v>
      </c>
      <c r="J17" s="28"/>
      <c r="K17" s="28" t="s">
        <v>598</v>
      </c>
      <c r="L17" s="28" t="s">
        <v>522</v>
      </c>
      <c r="M17" s="28" t="s">
        <v>599</v>
      </c>
      <c r="N17" s="28" t="s">
        <v>600</v>
      </c>
    </row>
    <row r="18" customFormat="false" ht="74.6" hidden="false" customHeight="false" outlineLevel="0" collapsed="false">
      <c r="A18" s="68" t="s">
        <v>9</v>
      </c>
      <c r="B18" s="28" t="s">
        <v>601</v>
      </c>
      <c r="C18" s="28" t="s">
        <v>569</v>
      </c>
      <c r="D18" s="28" t="s">
        <v>602</v>
      </c>
      <c r="E18" s="28" t="s">
        <v>603</v>
      </c>
      <c r="F18" s="80" t="n">
        <v>40000</v>
      </c>
      <c r="G18" s="80" t="n">
        <v>40000</v>
      </c>
      <c r="H18" s="80" t="n">
        <v>40000</v>
      </c>
      <c r="I18" s="80" t="n">
        <f aca="false">IF(COUNT(F18:H18)=0,"",SUM(F18:H18))</f>
        <v>120000</v>
      </c>
      <c r="J18" s="28" t="s">
        <v>604</v>
      </c>
      <c r="K18" s="28"/>
      <c r="L18" s="28"/>
      <c r="M18" s="28"/>
      <c r="N18" s="28"/>
    </row>
    <row r="19" customFormat="false" ht="22.35" hidden="false" customHeight="false" outlineLevel="0" collapsed="false">
      <c r="A19" s="68" t="s">
        <v>9</v>
      </c>
      <c r="B19" s="28" t="s">
        <v>605</v>
      </c>
      <c r="C19" s="28" t="s">
        <v>569</v>
      </c>
      <c r="D19" s="28" t="s">
        <v>606</v>
      </c>
      <c r="E19" s="28" t="s">
        <v>607</v>
      </c>
      <c r="F19" s="80" t="n">
        <v>10000</v>
      </c>
      <c r="G19" s="80" t="n">
        <v>10000</v>
      </c>
      <c r="H19" s="80" t="n">
        <v>10000</v>
      </c>
      <c r="I19" s="80" t="n">
        <f aca="false">IF(COUNT(F19:H19)=0,"",SUM(F19:H19))</f>
        <v>30000</v>
      </c>
      <c r="J19" s="28"/>
      <c r="K19" s="28"/>
      <c r="L19" s="28"/>
      <c r="M19" s="28"/>
      <c r="N19" s="28"/>
    </row>
    <row r="20" customFormat="false" ht="147.75" hidden="false" customHeight="false" outlineLevel="0" collapsed="false">
      <c r="A20" s="77" t="s">
        <v>7</v>
      </c>
      <c r="B20" s="78" t="s">
        <v>608</v>
      </c>
      <c r="C20" s="78" t="s">
        <v>554</v>
      </c>
      <c r="D20" s="78" t="s">
        <v>609</v>
      </c>
      <c r="E20" s="78" t="s">
        <v>610</v>
      </c>
      <c r="F20" s="79" t="n">
        <v>40000</v>
      </c>
      <c r="G20" s="79" t="n">
        <v>40000</v>
      </c>
      <c r="H20" s="79" t="n">
        <v>25000</v>
      </c>
      <c r="I20" s="79" t="n">
        <f aca="false">IF(COUNT(F20:H20)=0,"",SUM(F20:H20))</f>
        <v>105000</v>
      </c>
      <c r="J20" s="78" t="s">
        <v>611</v>
      </c>
      <c r="K20" s="78"/>
      <c r="L20" s="78" t="s">
        <v>612</v>
      </c>
      <c r="M20" s="78"/>
      <c r="N20" s="78" t="s">
        <v>613</v>
      </c>
    </row>
    <row r="21" customFormat="false" ht="53.7" hidden="false" customHeight="false" outlineLevel="0" collapsed="false">
      <c r="A21" s="67" t="s">
        <v>5</v>
      </c>
      <c r="B21" s="24" t="s">
        <v>614</v>
      </c>
      <c r="C21" s="24" t="s">
        <v>554</v>
      </c>
      <c r="D21" s="24" t="s">
        <v>615</v>
      </c>
      <c r="E21" s="24" t="s">
        <v>616</v>
      </c>
      <c r="F21" s="81" t="n">
        <v>60000</v>
      </c>
      <c r="G21" s="81" t="n">
        <v>60000</v>
      </c>
      <c r="H21" s="81" t="n">
        <v>60000</v>
      </c>
      <c r="I21" s="81" t="n">
        <f aca="false">IF(COUNT(F21:H21)=0,"",SUM(F21:H21))</f>
        <v>180000</v>
      </c>
      <c r="J21" s="24" t="s">
        <v>617</v>
      </c>
      <c r="K21" s="24"/>
      <c r="L21" s="24"/>
      <c r="M21" s="24"/>
      <c r="N21" s="24"/>
    </row>
    <row r="22" customFormat="false" ht="74.6" hidden="false" customHeight="false" outlineLevel="0" collapsed="false">
      <c r="A22" s="68" t="s">
        <v>9</v>
      </c>
      <c r="B22" s="28" t="s">
        <v>618</v>
      </c>
      <c r="C22" s="28" t="s">
        <v>569</v>
      </c>
      <c r="D22" s="28" t="s">
        <v>619</v>
      </c>
      <c r="E22" s="28" t="s">
        <v>620</v>
      </c>
      <c r="F22" s="80" t="n">
        <v>15000</v>
      </c>
      <c r="G22" s="80" t="n">
        <v>15000</v>
      </c>
      <c r="H22" s="80" t="n">
        <v>15000</v>
      </c>
      <c r="I22" s="80" t="n">
        <f aca="false">IF(COUNT(F22:H22)=0,"",SUM(F22:H22))</f>
        <v>45000</v>
      </c>
      <c r="J22" s="28" t="s">
        <v>541</v>
      </c>
      <c r="K22" s="28" t="s">
        <v>621</v>
      </c>
      <c r="L22" s="28"/>
      <c r="M22" s="28"/>
      <c r="N22" s="28"/>
    </row>
    <row r="23" customFormat="false" ht="32.8" hidden="false" customHeight="false" outlineLevel="0" collapsed="false">
      <c r="A23" s="68" t="s">
        <v>9</v>
      </c>
      <c r="B23" s="28" t="s">
        <v>622</v>
      </c>
      <c r="C23" s="28" t="s">
        <v>569</v>
      </c>
      <c r="D23" s="28" t="s">
        <v>623</v>
      </c>
      <c r="E23" s="28" t="s">
        <v>624</v>
      </c>
      <c r="F23" s="80" t="n">
        <v>5000</v>
      </c>
      <c r="G23" s="80" t="n">
        <v>5000</v>
      </c>
      <c r="H23" s="80" t="n">
        <v>5000</v>
      </c>
      <c r="I23" s="80" t="n">
        <f aca="false">IF(COUNT(F23:H23)=0,"",SUM(F23:H23))</f>
        <v>15000</v>
      </c>
      <c r="J23" s="28"/>
      <c r="K23" s="28" t="s">
        <v>625</v>
      </c>
      <c r="L23" s="28"/>
      <c r="M23" s="28"/>
      <c r="N23" s="28"/>
    </row>
    <row r="24" customFormat="false" ht="95.5" hidden="false" customHeight="false" outlineLevel="0" collapsed="false">
      <c r="A24" s="75" t="s">
        <v>11</v>
      </c>
      <c r="B24" s="75" t="s">
        <v>626</v>
      </c>
      <c r="C24" s="75" t="s">
        <v>627</v>
      </c>
      <c r="D24" s="75" t="s">
        <v>628</v>
      </c>
      <c r="E24" s="75" t="s">
        <v>629</v>
      </c>
      <c r="F24" s="76" t="n">
        <v>0</v>
      </c>
      <c r="G24" s="76" t="n">
        <v>30000</v>
      </c>
      <c r="H24" s="76" t="n">
        <v>370000</v>
      </c>
      <c r="I24" s="76" t="n">
        <f aca="false">IF(COUNT(F24:H24)=0,"",SUM(F24:H24))</f>
        <v>400000</v>
      </c>
      <c r="J24" s="75"/>
      <c r="K24" s="75" t="s">
        <v>630</v>
      </c>
      <c r="L24" s="75"/>
      <c r="M24" s="75"/>
      <c r="N24" s="75" t="s">
        <v>631</v>
      </c>
    </row>
    <row r="25" customFormat="false" ht="32.8" hidden="false" customHeight="false" outlineLevel="0" collapsed="false">
      <c r="A25" s="75" t="s">
        <v>11</v>
      </c>
      <c r="B25" s="75" t="s">
        <v>632</v>
      </c>
      <c r="C25" s="75" t="s">
        <v>627</v>
      </c>
      <c r="D25" s="75" t="s">
        <v>633</v>
      </c>
      <c r="E25" s="75" t="s">
        <v>634</v>
      </c>
      <c r="F25" s="76"/>
      <c r="G25" s="76"/>
      <c r="H25" s="76"/>
      <c r="I25" s="76" t="str">
        <f aca="false">IF(COUNT(F25:H25)=0,"",SUM(F25:H25))</f>
        <v/>
      </c>
      <c r="J25" s="75"/>
      <c r="K25" s="75"/>
      <c r="L25" s="75"/>
      <c r="M25" s="75"/>
      <c r="N25" s="75"/>
    </row>
    <row r="26" customFormat="false" ht="32.8" hidden="false" customHeight="false" outlineLevel="0" collapsed="false">
      <c r="A26" s="32"/>
      <c r="B26" s="32"/>
      <c r="C26" s="32" t="s">
        <v>635</v>
      </c>
      <c r="D26" s="32" t="s">
        <v>636</v>
      </c>
      <c r="E26" s="32" t="s">
        <v>637</v>
      </c>
      <c r="F26" s="74" t="n">
        <v>75000</v>
      </c>
      <c r="G26" s="74" t="n">
        <v>30000</v>
      </c>
      <c r="H26" s="74" t="n">
        <v>75000</v>
      </c>
      <c r="I26" s="74" t="n">
        <f aca="false">IF(COUNT(F26:H26)=0,"",SUM(F26:H26))</f>
        <v>180000</v>
      </c>
      <c r="J26" s="32"/>
      <c r="K26" s="32"/>
      <c r="L26" s="32"/>
      <c r="M26" s="32"/>
      <c r="N26" s="32"/>
    </row>
    <row r="27" customFormat="false" ht="64.15" hidden="false" customHeight="false" outlineLevel="0" collapsed="false">
      <c r="A27" s="32"/>
      <c r="B27" s="32"/>
      <c r="C27" s="32" t="s">
        <v>635</v>
      </c>
      <c r="D27" s="32" t="s">
        <v>638</v>
      </c>
      <c r="E27" s="32" t="s">
        <v>639</v>
      </c>
      <c r="F27" s="74" t="n">
        <v>40000</v>
      </c>
      <c r="G27" s="74" t="n">
        <v>40000</v>
      </c>
      <c r="H27" s="74" t="n">
        <v>40000</v>
      </c>
      <c r="I27" s="74" t="n">
        <f aca="false">IF(COUNT(F27:H27)=0,"",SUM(F27:H27))</f>
        <v>120000</v>
      </c>
      <c r="J27" s="32" t="s">
        <v>640</v>
      </c>
      <c r="K27" s="32"/>
      <c r="L27" s="32"/>
      <c r="M27" s="32" t="s">
        <v>641</v>
      </c>
      <c r="N27" s="32"/>
    </row>
    <row r="28" customFormat="false" ht="15" hidden="false" customHeight="false" outlineLevel="0" collapsed="false">
      <c r="D28" s="69" t="s">
        <v>642</v>
      </c>
      <c r="F28" s="71" t="n">
        <f aca="false">SUM(F3:F27)</f>
        <v>1032000</v>
      </c>
      <c r="G28" s="71" t="n">
        <f aca="false">SUM(G3:G27)</f>
        <v>1060000</v>
      </c>
      <c r="H28" s="71" t="n">
        <f aca="false">SUM(H3:H27)</f>
        <v>1445000</v>
      </c>
      <c r="I28" s="71" t="n">
        <f aca="false">SUM(I3:I27)</f>
        <v>3537000</v>
      </c>
    </row>
    <row r="29" customFormat="false" ht="15" hidden="false" customHeight="false" outlineLevel="0" collapsed="false">
      <c r="D29" s="72" t="s">
        <v>643</v>
      </c>
      <c r="F29" s="71" t="n">
        <f aca="false">SUMIFS(F3:F27,$C3:$C27,"P3 Programs &amp; Workforce")</f>
        <v>155000</v>
      </c>
      <c r="G29" s="71" t="n">
        <f aca="false">SUMIFS(G3:G27,$C3:$C27,"P3 Programs &amp; Workforce")</f>
        <v>155000</v>
      </c>
      <c r="H29" s="71" t="n">
        <f aca="false">SUMIFS(H3:H27,$C3:$C27,"P3 Programs &amp; Workforce")</f>
        <v>140000</v>
      </c>
      <c r="I29" s="71" t="n">
        <f aca="false">SUMIFS(I3:I27,$C3:$C27,"P3 Programs &amp; Workforce")</f>
        <v>450000</v>
      </c>
    </row>
    <row r="30" customFormat="false" ht="15" hidden="false" customHeight="false" outlineLevel="0" collapsed="false">
      <c r="D30" s="70" t="s">
        <v>644</v>
      </c>
      <c r="F30" s="71" t="n">
        <f aca="false">SUMIFS(F3:F27,$C3:$C27,"P1*")</f>
        <v>0</v>
      </c>
      <c r="G30" s="71" t="n">
        <f aca="false">SUMIFS(G3:G27,$C3:$C27,"P1*")</f>
        <v>0</v>
      </c>
      <c r="H30" s="71" t="n">
        <f aca="false">SUMIFS(H3:H27,$C3:$C27,"P1*")</f>
        <v>0</v>
      </c>
      <c r="I30" s="71" t="n">
        <f aca="false">SUMIFS(I3:I27,$C3:$C27,"P1*")</f>
        <v>0</v>
      </c>
    </row>
  </sheetData>
  <autoFilter ref="A2:N27"/>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26"/>
    <col collapsed="false" customWidth="true" hidden="false" outlineLevel="0" max="4" min="4" style="0" width="34"/>
    <col collapsed="false" customWidth="true" hidden="false" outlineLevel="0" max="6" min="5" style="0" width="40"/>
    <col collapsed="false" customWidth="true" hidden="false" outlineLevel="0" max="8" min="7" style="0" width="13"/>
    <col collapsed="false" customWidth="true" hidden="false" outlineLevel="0" max="9" min="9" style="0" width="34"/>
  </cols>
  <sheetData>
    <row r="1" customFormat="false" ht="30" hidden="false" customHeight="true" outlineLevel="0" collapsed="false">
      <c r="A1" s="63" t="s">
        <v>645</v>
      </c>
      <c r="B1" s="63"/>
      <c r="C1" s="63"/>
      <c r="D1" s="63"/>
      <c r="E1" s="63"/>
      <c r="F1" s="63"/>
      <c r="G1" s="63"/>
      <c r="H1" s="63"/>
      <c r="I1" s="63"/>
    </row>
    <row r="2" customFormat="false" ht="23.85" hidden="false" customHeight="false" outlineLevel="0" collapsed="false">
      <c r="A2" s="19" t="s">
        <v>277</v>
      </c>
      <c r="B2" s="19" t="s">
        <v>646</v>
      </c>
      <c r="C2" s="19" t="s">
        <v>647</v>
      </c>
      <c r="D2" s="19" t="s">
        <v>282</v>
      </c>
      <c r="E2" s="19" t="s">
        <v>648</v>
      </c>
      <c r="F2" s="19" t="s">
        <v>649</v>
      </c>
      <c r="G2" s="19" t="s">
        <v>650</v>
      </c>
      <c r="H2" s="19" t="s">
        <v>651</v>
      </c>
      <c r="I2" s="19" t="s">
        <v>652</v>
      </c>
    </row>
    <row r="3" customFormat="false" ht="32.8" hidden="false" customHeight="false" outlineLevel="0" collapsed="false">
      <c r="A3" s="67" t="s">
        <v>5</v>
      </c>
      <c r="B3" s="24" t="s">
        <v>653</v>
      </c>
      <c r="C3" s="24" t="s">
        <v>654</v>
      </c>
      <c r="D3" s="24" t="s">
        <v>655</v>
      </c>
      <c r="E3" s="24" t="s">
        <v>656</v>
      </c>
      <c r="F3" s="24" t="s">
        <v>657</v>
      </c>
      <c r="G3" s="82" t="n">
        <v>3500</v>
      </c>
      <c r="H3" s="26" t="n">
        <v>40000</v>
      </c>
      <c r="I3" s="24" t="s">
        <v>658</v>
      </c>
    </row>
    <row r="4" customFormat="false" ht="32.8" hidden="false" customHeight="false" outlineLevel="0" collapsed="false">
      <c r="A4" s="77" t="s">
        <v>7</v>
      </c>
      <c r="B4" s="78" t="s">
        <v>615</v>
      </c>
      <c r="C4" s="78" t="s">
        <v>659</v>
      </c>
      <c r="D4" s="78" t="s">
        <v>660</v>
      </c>
      <c r="E4" s="78" t="s">
        <v>661</v>
      </c>
      <c r="F4" s="78" t="s">
        <v>662</v>
      </c>
      <c r="G4" s="83" t="n">
        <v>10500</v>
      </c>
      <c r="H4" s="84" t="n">
        <v>60000</v>
      </c>
      <c r="I4" s="78"/>
    </row>
    <row r="5" customFormat="false" ht="22.35" hidden="false" customHeight="false" outlineLevel="0" collapsed="false">
      <c r="A5" s="77" t="s">
        <v>7</v>
      </c>
      <c r="B5" s="78" t="s">
        <v>663</v>
      </c>
      <c r="C5" s="78" t="s">
        <v>664</v>
      </c>
      <c r="D5" s="78" t="s">
        <v>665</v>
      </c>
      <c r="E5" s="78" t="s">
        <v>666</v>
      </c>
      <c r="F5" s="78" t="s">
        <v>667</v>
      </c>
      <c r="G5" s="83" t="n">
        <v>5087.5</v>
      </c>
      <c r="H5" s="84" t="n">
        <v>40000</v>
      </c>
      <c r="I5" s="78" t="s">
        <v>668</v>
      </c>
    </row>
    <row r="6" customFormat="false" ht="22.35" hidden="false" customHeight="false" outlineLevel="0" collapsed="false">
      <c r="A6" s="67" t="s">
        <v>5</v>
      </c>
      <c r="B6" s="24" t="s">
        <v>663</v>
      </c>
      <c r="C6" s="24" t="s">
        <v>669</v>
      </c>
      <c r="D6" s="24" t="s">
        <v>670</v>
      </c>
      <c r="E6" s="24" t="s">
        <v>671</v>
      </c>
      <c r="F6" s="24" t="s">
        <v>672</v>
      </c>
      <c r="G6" s="82" t="n">
        <v>1000</v>
      </c>
      <c r="H6" s="26" t="n">
        <v>40000</v>
      </c>
      <c r="I6" s="24" t="s">
        <v>673</v>
      </c>
    </row>
    <row r="7" customFormat="false" ht="22.35" hidden="false" customHeight="false" outlineLevel="0" collapsed="false">
      <c r="A7" s="67" t="s">
        <v>5</v>
      </c>
      <c r="B7" s="24" t="s">
        <v>615</v>
      </c>
      <c r="C7" s="24" t="s">
        <v>674</v>
      </c>
      <c r="D7" s="24" t="s">
        <v>675</v>
      </c>
      <c r="E7" s="24" t="s">
        <v>676</v>
      </c>
      <c r="F7" s="24" t="s">
        <v>677</v>
      </c>
      <c r="G7" s="82" t="n">
        <v>2000</v>
      </c>
      <c r="H7" s="26" t="n">
        <v>60000</v>
      </c>
      <c r="I7" s="24"/>
    </row>
    <row r="8" customFormat="false" ht="15" hidden="false" customHeight="false" outlineLevel="0" collapsed="false">
      <c r="F8" s="69" t="s">
        <v>678</v>
      </c>
      <c r="G8" s="85" t="n">
        <f aca="false">SUM(G3:G7)</f>
        <v>22087.5</v>
      </c>
      <c r="H8" s="86"/>
    </row>
    <row r="10" customFormat="false" ht="15" hidden="false" customHeight="false" outlineLevel="0" collapsed="false">
      <c r="A10" s="16" t="s">
        <v>679</v>
      </c>
    </row>
    <row r="11" customFormat="false" ht="15" hidden="false" customHeight="false" outlineLevel="0" collapsed="false">
      <c r="A11" s="87" t="s">
        <v>277</v>
      </c>
      <c r="B11" s="87" t="s">
        <v>680</v>
      </c>
      <c r="C11" s="87" t="s">
        <v>681</v>
      </c>
      <c r="D11" s="87" t="s">
        <v>682</v>
      </c>
    </row>
    <row r="12" customFormat="false" ht="22.35" hidden="false" customHeight="false" outlineLevel="0" collapsed="false">
      <c r="A12" s="24" t="s">
        <v>5</v>
      </c>
      <c r="B12" s="24" t="s">
        <v>683</v>
      </c>
      <c r="C12" s="26" t="n">
        <v>3200</v>
      </c>
      <c r="D12" s="24" t="s">
        <v>684</v>
      </c>
    </row>
    <row r="13" customFormat="false" ht="22.35" hidden="false" customHeight="false" outlineLevel="0" collapsed="false">
      <c r="A13" s="24" t="s">
        <v>5</v>
      </c>
      <c r="B13" s="24" t="s">
        <v>685</v>
      </c>
      <c r="C13" s="26" t="n">
        <v>1100</v>
      </c>
      <c r="D13" s="24" t="s">
        <v>686</v>
      </c>
    </row>
    <row r="14" customFormat="false" ht="22.35" hidden="false" customHeight="false" outlineLevel="0" collapsed="false">
      <c r="A14" s="24" t="s">
        <v>5</v>
      </c>
      <c r="B14" s="24" t="s">
        <v>687</v>
      </c>
      <c r="C14" s="26" t="n">
        <v>1400</v>
      </c>
      <c r="D14" s="24" t="s">
        <v>688</v>
      </c>
    </row>
    <row r="15" customFormat="false" ht="22.35" hidden="false" customHeight="false" outlineLevel="0" collapsed="false">
      <c r="A15" s="24" t="s">
        <v>5</v>
      </c>
      <c r="B15" s="24" t="s">
        <v>689</v>
      </c>
      <c r="C15" s="26" t="n">
        <v>1200</v>
      </c>
      <c r="D15" s="24" t="s">
        <v>690</v>
      </c>
    </row>
    <row r="16" customFormat="false" ht="22.35" hidden="false" customHeight="false" outlineLevel="0" collapsed="false">
      <c r="A16" s="24" t="s">
        <v>5</v>
      </c>
      <c r="B16" s="24" t="s">
        <v>691</v>
      </c>
      <c r="C16" s="26" t="n">
        <v>600</v>
      </c>
      <c r="D16" s="24" t="s">
        <v>692</v>
      </c>
    </row>
    <row r="17" customFormat="false" ht="15" hidden="false" customHeight="false" outlineLevel="0" collapsed="false">
      <c r="B17" s="69" t="s">
        <v>693</v>
      </c>
      <c r="C17" s="71" t="n">
        <f aca="false">SUM(C12:C16)</f>
        <v>7500</v>
      </c>
    </row>
    <row r="19" customFormat="false" ht="15" hidden="false" customHeight="false" outlineLevel="0" collapsed="false">
      <c r="A19" s="2" t="s">
        <v>694</v>
      </c>
    </row>
  </sheetData>
  <autoFilter ref="A2:I7"/>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0"/>
    <col collapsed="false" customWidth="true" hidden="false" outlineLevel="0" max="4" min="4" style="0" width="40"/>
    <col collapsed="false" customWidth="true" hidden="false" outlineLevel="0" max="5" min="5" style="0" width="55"/>
    <col collapsed="false" customWidth="true" hidden="false" outlineLevel="0" max="6" min="6" style="0" width="45"/>
    <col collapsed="false" customWidth="true" hidden="false" outlineLevel="0" max="7" min="7" style="0" width="40"/>
    <col collapsed="false" customWidth="true" hidden="false" outlineLevel="0" max="10" min="8" style="0" width="32"/>
  </cols>
  <sheetData>
    <row r="1" customFormat="false" ht="30" hidden="false" customHeight="true" outlineLevel="0" collapsed="false">
      <c r="A1" s="63" t="s">
        <v>695</v>
      </c>
      <c r="B1" s="63"/>
      <c r="C1" s="63"/>
      <c r="D1" s="63"/>
      <c r="E1" s="63"/>
      <c r="F1" s="63"/>
      <c r="G1" s="63"/>
      <c r="H1" s="63"/>
      <c r="I1" s="63"/>
      <c r="J1" s="63"/>
    </row>
    <row r="2" customFormat="false" ht="15" hidden="false" customHeight="false" outlineLevel="0" collapsed="false">
      <c r="A2" s="19" t="s">
        <v>277</v>
      </c>
      <c r="B2" s="19" t="s">
        <v>696</v>
      </c>
      <c r="C2" s="19" t="s">
        <v>697</v>
      </c>
      <c r="D2" s="19" t="s">
        <v>698</v>
      </c>
      <c r="E2" s="19" t="s">
        <v>699</v>
      </c>
      <c r="F2" s="19" t="s">
        <v>700</v>
      </c>
      <c r="G2" s="19" t="s">
        <v>701</v>
      </c>
      <c r="H2" s="19" t="s">
        <v>702</v>
      </c>
      <c r="I2" s="19" t="s">
        <v>703</v>
      </c>
      <c r="J2" s="19" t="s">
        <v>704</v>
      </c>
    </row>
    <row r="3" customFormat="false" ht="74.6" hidden="false" customHeight="false" outlineLevel="0" collapsed="false">
      <c r="A3" s="66" t="s">
        <v>3</v>
      </c>
      <c r="B3" s="20" t="s">
        <v>705</v>
      </c>
      <c r="C3" s="20" t="s">
        <v>706</v>
      </c>
      <c r="D3" s="20" t="s">
        <v>707</v>
      </c>
      <c r="E3" s="20" t="s">
        <v>708</v>
      </c>
      <c r="F3" s="20" t="s">
        <v>709</v>
      </c>
      <c r="G3" s="20" t="s">
        <v>710</v>
      </c>
      <c r="H3" s="20" t="s">
        <v>711</v>
      </c>
      <c r="I3" s="20" t="s">
        <v>712</v>
      </c>
      <c r="J3" s="20" t="s">
        <v>713</v>
      </c>
    </row>
    <row r="4" customFormat="false" ht="43.25" hidden="false" customHeight="false" outlineLevel="0" collapsed="false">
      <c r="A4" s="66" t="s">
        <v>3</v>
      </c>
      <c r="B4" s="20" t="s">
        <v>705</v>
      </c>
      <c r="C4" s="20" t="s">
        <v>714</v>
      </c>
      <c r="D4" s="20" t="s">
        <v>715</v>
      </c>
      <c r="E4" s="20" t="s">
        <v>716</v>
      </c>
      <c r="F4" s="20" t="s">
        <v>717</v>
      </c>
      <c r="G4" s="20" t="s">
        <v>718</v>
      </c>
      <c r="H4" s="20" t="s">
        <v>719</v>
      </c>
      <c r="I4" s="20" t="s">
        <v>720</v>
      </c>
      <c r="J4" s="20" t="s">
        <v>721</v>
      </c>
    </row>
    <row r="5" customFormat="false" ht="64.15" hidden="false" customHeight="false" outlineLevel="0" collapsed="false">
      <c r="A5" s="77" t="s">
        <v>7</v>
      </c>
      <c r="B5" s="78" t="s">
        <v>554</v>
      </c>
      <c r="C5" s="78" t="s">
        <v>722</v>
      </c>
      <c r="D5" s="78" t="s">
        <v>723</v>
      </c>
      <c r="E5" s="78" t="s">
        <v>724</v>
      </c>
      <c r="F5" s="78" t="s">
        <v>725</v>
      </c>
      <c r="G5" s="78" t="s">
        <v>726</v>
      </c>
      <c r="H5" s="78" t="s">
        <v>727</v>
      </c>
      <c r="I5" s="78" t="s">
        <v>728</v>
      </c>
      <c r="J5" s="78" t="s">
        <v>729</v>
      </c>
    </row>
    <row r="6" customFormat="false" ht="53.7" hidden="false" customHeight="false" outlineLevel="0" collapsed="false">
      <c r="A6" s="67" t="s">
        <v>5</v>
      </c>
      <c r="B6" s="24" t="s">
        <v>554</v>
      </c>
      <c r="C6" s="24" t="s">
        <v>730</v>
      </c>
      <c r="D6" s="24" t="s">
        <v>731</v>
      </c>
      <c r="E6" s="24" t="s">
        <v>732</v>
      </c>
      <c r="F6" s="24" t="s">
        <v>733</v>
      </c>
      <c r="G6" s="24" t="s">
        <v>734</v>
      </c>
      <c r="H6" s="24" t="s">
        <v>735</v>
      </c>
      <c r="I6" s="24" t="s">
        <v>736</v>
      </c>
      <c r="J6" s="24" t="s">
        <v>737</v>
      </c>
    </row>
    <row r="7" customFormat="false" ht="53.7" hidden="false" customHeight="false" outlineLevel="0" collapsed="false">
      <c r="A7" s="77" t="s">
        <v>7</v>
      </c>
      <c r="B7" s="78" t="s">
        <v>554</v>
      </c>
      <c r="C7" s="78" t="s">
        <v>738</v>
      </c>
      <c r="D7" s="78" t="s">
        <v>739</v>
      </c>
      <c r="E7" s="78" t="s">
        <v>740</v>
      </c>
      <c r="F7" s="78" t="s">
        <v>741</v>
      </c>
      <c r="G7" s="78" t="s">
        <v>742</v>
      </c>
      <c r="H7" s="78" t="s">
        <v>743</v>
      </c>
      <c r="I7" s="78" t="s">
        <v>744</v>
      </c>
      <c r="J7" s="78" t="s">
        <v>745</v>
      </c>
    </row>
    <row r="8" customFormat="false" ht="64.15" hidden="false" customHeight="false" outlineLevel="0" collapsed="false">
      <c r="A8" s="75" t="s">
        <v>11</v>
      </c>
      <c r="B8" s="75" t="s">
        <v>517</v>
      </c>
      <c r="C8" s="75" t="s">
        <v>353</v>
      </c>
      <c r="D8" s="75" t="s">
        <v>746</v>
      </c>
      <c r="E8" s="75" t="s">
        <v>747</v>
      </c>
      <c r="F8" s="75" t="s">
        <v>748</v>
      </c>
      <c r="G8" s="75" t="s">
        <v>749</v>
      </c>
      <c r="H8" s="75" t="s">
        <v>750</v>
      </c>
      <c r="I8" s="75" t="s">
        <v>751</v>
      </c>
      <c r="J8" s="75" t="s">
        <v>752</v>
      </c>
    </row>
    <row r="9" customFormat="false" ht="32.8" hidden="false" customHeight="false" outlineLevel="0" collapsed="false">
      <c r="A9" s="32"/>
      <c r="B9" s="32" t="s">
        <v>517</v>
      </c>
      <c r="C9" s="32" t="s">
        <v>753</v>
      </c>
      <c r="D9" s="32" t="s">
        <v>754</v>
      </c>
      <c r="E9" s="32" t="s">
        <v>755</v>
      </c>
      <c r="F9" s="32" t="s">
        <v>756</v>
      </c>
      <c r="G9" s="32" t="s">
        <v>757</v>
      </c>
      <c r="H9" s="32" t="s">
        <v>758</v>
      </c>
      <c r="I9" s="32" t="s">
        <v>759</v>
      </c>
      <c r="J9" s="32" t="s">
        <v>760</v>
      </c>
    </row>
    <row r="10" customFormat="false" ht="53.7" hidden="false" customHeight="false" outlineLevel="0" collapsed="false">
      <c r="A10" s="75" t="s">
        <v>11</v>
      </c>
      <c r="B10" s="75" t="s">
        <v>517</v>
      </c>
      <c r="C10" s="75" t="s">
        <v>761</v>
      </c>
      <c r="D10" s="75" t="s">
        <v>762</v>
      </c>
      <c r="E10" s="75" t="s">
        <v>763</v>
      </c>
      <c r="F10" s="75" t="s">
        <v>764</v>
      </c>
      <c r="G10" s="75" t="s">
        <v>765</v>
      </c>
      <c r="H10" s="75" t="s">
        <v>766</v>
      </c>
      <c r="I10" s="75" t="s">
        <v>767</v>
      </c>
      <c r="J10" s="75" t="s">
        <v>768</v>
      </c>
    </row>
    <row r="11" customFormat="false" ht="43.25" hidden="false" customHeight="false" outlineLevel="0" collapsed="false">
      <c r="A11" s="68" t="s">
        <v>9</v>
      </c>
      <c r="B11" s="28" t="s">
        <v>569</v>
      </c>
      <c r="C11" s="28" t="s">
        <v>769</v>
      </c>
      <c r="D11" s="28" t="s">
        <v>770</v>
      </c>
      <c r="E11" s="28" t="s">
        <v>771</v>
      </c>
      <c r="F11" s="28" t="s">
        <v>772</v>
      </c>
      <c r="G11" s="28" t="s">
        <v>773</v>
      </c>
      <c r="H11" s="28" t="s">
        <v>774</v>
      </c>
      <c r="I11" s="28" t="s">
        <v>775</v>
      </c>
      <c r="J11" s="28" t="s">
        <v>776</v>
      </c>
    </row>
    <row r="12" customFormat="false" ht="43.25" hidden="false" customHeight="false" outlineLevel="0" collapsed="false">
      <c r="A12" s="68" t="s">
        <v>9</v>
      </c>
      <c r="B12" s="28" t="s">
        <v>569</v>
      </c>
      <c r="C12" s="28" t="s">
        <v>95</v>
      </c>
      <c r="D12" s="28" t="s">
        <v>777</v>
      </c>
      <c r="E12" s="28" t="s">
        <v>778</v>
      </c>
      <c r="F12" s="28" t="s">
        <v>779</v>
      </c>
      <c r="G12" s="28" t="s">
        <v>780</v>
      </c>
      <c r="H12" s="28" t="s">
        <v>781</v>
      </c>
      <c r="I12" s="28" t="s">
        <v>782</v>
      </c>
      <c r="J12" s="28" t="s">
        <v>783</v>
      </c>
    </row>
    <row r="13" customFormat="false" ht="43.25" hidden="false" customHeight="false" outlineLevel="0" collapsed="false">
      <c r="A13" s="68" t="s">
        <v>9</v>
      </c>
      <c r="B13" s="28" t="s">
        <v>569</v>
      </c>
      <c r="C13" s="28" t="s">
        <v>784</v>
      </c>
      <c r="D13" s="28" t="s">
        <v>785</v>
      </c>
      <c r="E13" s="28" t="s">
        <v>786</v>
      </c>
      <c r="F13" s="28" t="s">
        <v>787</v>
      </c>
      <c r="G13" s="28" t="s">
        <v>788</v>
      </c>
      <c r="H13" s="28" t="s">
        <v>789</v>
      </c>
      <c r="I13" s="28" t="s">
        <v>790</v>
      </c>
      <c r="J13" s="28" t="s">
        <v>791</v>
      </c>
    </row>
    <row r="14" customFormat="false" ht="32.8" hidden="false" customHeight="false" outlineLevel="0" collapsed="false">
      <c r="A14" s="75" t="s">
        <v>11</v>
      </c>
      <c r="B14" s="75" t="s">
        <v>627</v>
      </c>
      <c r="C14" s="75" t="s">
        <v>792</v>
      </c>
      <c r="D14" s="75" t="s">
        <v>793</v>
      </c>
      <c r="E14" s="75" t="s">
        <v>794</v>
      </c>
      <c r="F14" s="75" t="s">
        <v>795</v>
      </c>
      <c r="G14" s="75" t="s">
        <v>796</v>
      </c>
      <c r="H14" s="75" t="s">
        <v>797</v>
      </c>
      <c r="I14" s="75" t="s">
        <v>798</v>
      </c>
      <c r="J14" s="75" t="s">
        <v>799</v>
      </c>
    </row>
  </sheetData>
  <autoFilter ref="A2:J14"/>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45"/>
    <col collapsed="false" customWidth="true" hidden="false" outlineLevel="0" max="4" min="4" style="0" width="32"/>
    <col collapsed="false" customWidth="true" hidden="false" outlineLevel="0" max="5" min="5" style="0" width="45"/>
    <col collapsed="false" customWidth="true" hidden="false" outlineLevel="0" max="6" min="6" style="0" width="32"/>
  </cols>
  <sheetData>
    <row r="1" customFormat="false" ht="30" hidden="false" customHeight="true" outlineLevel="0" collapsed="false">
      <c r="A1" s="63" t="s">
        <v>800</v>
      </c>
      <c r="B1" s="63"/>
      <c r="C1" s="63"/>
      <c r="D1" s="63"/>
      <c r="E1" s="63"/>
      <c r="F1" s="63"/>
    </row>
    <row r="2" customFormat="false" ht="15" hidden="false" customHeight="false" outlineLevel="0" collapsed="false">
      <c r="A2" s="19" t="s">
        <v>277</v>
      </c>
      <c r="B2" s="19" t="s">
        <v>60</v>
      </c>
      <c r="C2" s="19" t="s">
        <v>278</v>
      </c>
      <c r="D2" s="19" t="s">
        <v>85</v>
      </c>
      <c r="E2" s="19" t="s">
        <v>801</v>
      </c>
      <c r="F2" s="19" t="s">
        <v>156</v>
      </c>
    </row>
    <row r="3" customFormat="false" ht="22.35" hidden="false" customHeight="false" outlineLevel="0" collapsed="false">
      <c r="A3" s="66" t="s">
        <v>3</v>
      </c>
      <c r="B3" s="20" t="s">
        <v>802</v>
      </c>
      <c r="C3" s="20" t="s">
        <v>803</v>
      </c>
      <c r="D3" s="20"/>
      <c r="E3" s="20" t="s">
        <v>804</v>
      </c>
      <c r="F3" s="20" t="s">
        <v>29</v>
      </c>
    </row>
    <row r="4" customFormat="false" ht="15" hidden="false" customHeight="false" outlineLevel="0" collapsed="false">
      <c r="A4" s="66" t="s">
        <v>3</v>
      </c>
      <c r="B4" s="20" t="s">
        <v>802</v>
      </c>
      <c r="C4" s="20" t="s">
        <v>805</v>
      </c>
      <c r="D4" s="20" t="s">
        <v>806</v>
      </c>
      <c r="E4" s="20" t="s">
        <v>807</v>
      </c>
      <c r="F4" s="20" t="s">
        <v>29</v>
      </c>
    </row>
    <row r="5" customFormat="false" ht="15" hidden="false" customHeight="false" outlineLevel="0" collapsed="false">
      <c r="A5" s="66" t="s">
        <v>3</v>
      </c>
      <c r="B5" s="20" t="s">
        <v>802</v>
      </c>
      <c r="C5" s="20" t="s">
        <v>808</v>
      </c>
      <c r="D5" s="20" t="s">
        <v>809</v>
      </c>
      <c r="E5" s="20" t="s">
        <v>810</v>
      </c>
      <c r="F5" s="20" t="s">
        <v>29</v>
      </c>
    </row>
    <row r="6" customFormat="false" ht="15" hidden="false" customHeight="false" outlineLevel="0" collapsed="false">
      <c r="A6" s="66" t="s">
        <v>3</v>
      </c>
      <c r="B6" s="20" t="s">
        <v>802</v>
      </c>
      <c r="C6" s="20" t="s">
        <v>811</v>
      </c>
      <c r="D6" s="20"/>
      <c r="E6" s="20" t="s">
        <v>812</v>
      </c>
      <c r="F6" s="20" t="s">
        <v>29</v>
      </c>
    </row>
    <row r="7" customFormat="false" ht="22.35" hidden="false" customHeight="false" outlineLevel="0" collapsed="false">
      <c r="A7" s="66" t="s">
        <v>3</v>
      </c>
      <c r="B7" s="20" t="s">
        <v>802</v>
      </c>
      <c r="C7" s="20" t="s">
        <v>813</v>
      </c>
      <c r="D7" s="20"/>
      <c r="E7" s="20" t="s">
        <v>814</v>
      </c>
      <c r="F7" s="20" t="s">
        <v>815</v>
      </c>
    </row>
    <row r="8" customFormat="false" ht="22.35" hidden="false" customHeight="false" outlineLevel="0" collapsed="false">
      <c r="A8" s="66" t="s">
        <v>3</v>
      </c>
      <c r="B8" s="20" t="s">
        <v>816</v>
      </c>
      <c r="C8" s="20" t="s">
        <v>817</v>
      </c>
      <c r="D8" s="20"/>
      <c r="E8" s="20" t="s">
        <v>818</v>
      </c>
      <c r="F8" s="20" t="s">
        <v>29</v>
      </c>
    </row>
    <row r="9" customFormat="false" ht="15" hidden="false" customHeight="false" outlineLevel="0" collapsed="false">
      <c r="A9" s="66" t="s">
        <v>3</v>
      </c>
      <c r="B9" s="20" t="s">
        <v>802</v>
      </c>
      <c r="C9" s="20" t="s">
        <v>351</v>
      </c>
      <c r="D9" s="20" t="s">
        <v>819</v>
      </c>
      <c r="E9" s="20"/>
      <c r="F9" s="20" t="s">
        <v>820</v>
      </c>
    </row>
    <row r="10" customFormat="false" ht="15" hidden="false" customHeight="false" outlineLevel="0" collapsed="false">
      <c r="A10" s="66" t="s">
        <v>3</v>
      </c>
      <c r="B10" s="20" t="s">
        <v>802</v>
      </c>
      <c r="C10" s="20" t="s">
        <v>821</v>
      </c>
      <c r="D10" s="20" t="s">
        <v>822</v>
      </c>
      <c r="E10" s="20"/>
      <c r="F10" s="20" t="s">
        <v>820</v>
      </c>
    </row>
    <row r="11" customFormat="false" ht="15" hidden="false" customHeight="false" outlineLevel="0" collapsed="false">
      <c r="A11" s="66" t="s">
        <v>3</v>
      </c>
      <c r="B11" s="20" t="s">
        <v>802</v>
      </c>
      <c r="C11" s="20" t="s">
        <v>823</v>
      </c>
      <c r="D11" s="20" t="s">
        <v>824</v>
      </c>
      <c r="E11" s="20"/>
      <c r="F11" s="20" t="s">
        <v>820</v>
      </c>
    </row>
    <row r="12" customFormat="false" ht="15" hidden="false" customHeight="false" outlineLevel="0" collapsed="false">
      <c r="A12" s="66" t="s">
        <v>3</v>
      </c>
      <c r="B12" s="20" t="s">
        <v>802</v>
      </c>
      <c r="C12" s="20" t="s">
        <v>825</v>
      </c>
      <c r="D12" s="20" t="s">
        <v>826</v>
      </c>
      <c r="E12" s="20"/>
      <c r="F12" s="20" t="s">
        <v>820</v>
      </c>
    </row>
    <row r="13" customFormat="false" ht="15" hidden="false" customHeight="false" outlineLevel="0" collapsed="false">
      <c r="A13" s="66" t="s">
        <v>3</v>
      </c>
      <c r="B13" s="20" t="s">
        <v>802</v>
      </c>
      <c r="C13" s="20" t="s">
        <v>827</v>
      </c>
      <c r="D13" s="20" t="s">
        <v>828</v>
      </c>
      <c r="E13" s="20"/>
      <c r="F13" s="20" t="s">
        <v>820</v>
      </c>
    </row>
    <row r="14" customFormat="false" ht="22.35" hidden="false" customHeight="false" outlineLevel="0" collapsed="false">
      <c r="A14" s="66" t="s">
        <v>3</v>
      </c>
      <c r="B14" s="20" t="s">
        <v>829</v>
      </c>
      <c r="C14" s="20" t="s">
        <v>830</v>
      </c>
      <c r="D14" s="20"/>
      <c r="E14" s="20" t="s">
        <v>831</v>
      </c>
      <c r="F14" s="20" t="s">
        <v>29</v>
      </c>
    </row>
    <row r="15" customFormat="false" ht="15" hidden="false" customHeight="false" outlineLevel="0" collapsed="false">
      <c r="A15" s="66" t="s">
        <v>3</v>
      </c>
      <c r="B15" s="20" t="s">
        <v>829</v>
      </c>
      <c r="C15" s="20" t="s">
        <v>832</v>
      </c>
      <c r="D15" s="20"/>
      <c r="E15" s="20" t="s">
        <v>833</v>
      </c>
      <c r="F15" s="20" t="s">
        <v>29</v>
      </c>
    </row>
    <row r="16" customFormat="false" ht="15" hidden="false" customHeight="false" outlineLevel="0" collapsed="false">
      <c r="A16" s="66" t="s">
        <v>3</v>
      </c>
      <c r="B16" s="20" t="s">
        <v>829</v>
      </c>
      <c r="C16" s="20" t="s">
        <v>834</v>
      </c>
      <c r="D16" s="20"/>
      <c r="E16" s="20" t="s">
        <v>835</v>
      </c>
      <c r="F16" s="20" t="s">
        <v>29</v>
      </c>
    </row>
    <row r="17" customFormat="false" ht="15" hidden="false" customHeight="false" outlineLevel="0" collapsed="false">
      <c r="A17" s="67" t="s">
        <v>5</v>
      </c>
      <c r="B17" s="24" t="s">
        <v>836</v>
      </c>
      <c r="C17" s="24" t="s">
        <v>837</v>
      </c>
      <c r="D17" s="24"/>
      <c r="E17" s="24" t="s">
        <v>838</v>
      </c>
      <c r="F17" s="24" t="s">
        <v>29</v>
      </c>
    </row>
    <row r="18" customFormat="false" ht="15" hidden="false" customHeight="false" outlineLevel="0" collapsed="false">
      <c r="A18" s="67" t="s">
        <v>5</v>
      </c>
      <c r="B18" s="24" t="s">
        <v>836</v>
      </c>
      <c r="C18" s="24" t="s">
        <v>839</v>
      </c>
      <c r="D18" s="24" t="s">
        <v>840</v>
      </c>
      <c r="E18" s="24" t="s">
        <v>841</v>
      </c>
      <c r="F18" s="24" t="s">
        <v>29</v>
      </c>
    </row>
    <row r="19" customFormat="false" ht="15" hidden="false" customHeight="false" outlineLevel="0" collapsed="false">
      <c r="A19" s="67" t="s">
        <v>5</v>
      </c>
      <c r="B19" s="24" t="s">
        <v>836</v>
      </c>
      <c r="C19" s="24" t="s">
        <v>842</v>
      </c>
      <c r="D19" s="24"/>
      <c r="E19" s="24" t="s">
        <v>843</v>
      </c>
      <c r="F19" s="24" t="s">
        <v>29</v>
      </c>
    </row>
    <row r="20" customFormat="false" ht="15" hidden="false" customHeight="false" outlineLevel="0" collapsed="false">
      <c r="A20" s="67" t="s">
        <v>5</v>
      </c>
      <c r="B20" s="24" t="s">
        <v>844</v>
      </c>
      <c r="C20" s="24" t="s">
        <v>845</v>
      </c>
      <c r="D20" s="24"/>
      <c r="E20" s="24" t="s">
        <v>846</v>
      </c>
      <c r="F20" s="24" t="s">
        <v>847</v>
      </c>
    </row>
    <row r="21" customFormat="false" ht="15" hidden="false" customHeight="false" outlineLevel="0" collapsed="false">
      <c r="A21" s="67" t="s">
        <v>5</v>
      </c>
      <c r="B21" s="24" t="s">
        <v>844</v>
      </c>
      <c r="C21" s="24" t="s">
        <v>848</v>
      </c>
      <c r="D21" s="24" t="s">
        <v>849</v>
      </c>
      <c r="E21" s="24" t="s">
        <v>850</v>
      </c>
      <c r="F21" s="24" t="s">
        <v>851</v>
      </c>
    </row>
    <row r="22" customFormat="false" ht="15" hidden="false" customHeight="false" outlineLevel="0" collapsed="false">
      <c r="A22" s="67" t="s">
        <v>5</v>
      </c>
      <c r="B22" s="24" t="s">
        <v>844</v>
      </c>
      <c r="C22" s="24" t="s">
        <v>852</v>
      </c>
      <c r="D22" s="24" t="s">
        <v>853</v>
      </c>
      <c r="E22" s="24" t="s">
        <v>854</v>
      </c>
      <c r="F22" s="24" t="s">
        <v>855</v>
      </c>
    </row>
    <row r="23" customFormat="false" ht="15" hidden="false" customHeight="false" outlineLevel="0" collapsed="false">
      <c r="A23" s="67" t="s">
        <v>5</v>
      </c>
      <c r="B23" s="24" t="s">
        <v>844</v>
      </c>
      <c r="C23" s="24" t="s">
        <v>856</v>
      </c>
      <c r="D23" s="24" t="s">
        <v>857</v>
      </c>
      <c r="E23" s="24" t="s">
        <v>858</v>
      </c>
      <c r="F23" s="24" t="s">
        <v>859</v>
      </c>
    </row>
    <row r="24" customFormat="false" ht="15" hidden="false" customHeight="false" outlineLevel="0" collapsed="false">
      <c r="A24" s="67" t="s">
        <v>5</v>
      </c>
      <c r="B24" s="24" t="s">
        <v>844</v>
      </c>
      <c r="C24" s="24" t="s">
        <v>93</v>
      </c>
      <c r="D24" s="24" t="s">
        <v>860</v>
      </c>
      <c r="E24" s="24" t="s">
        <v>861</v>
      </c>
      <c r="F24" s="24" t="s">
        <v>859</v>
      </c>
    </row>
    <row r="25" customFormat="false" ht="15" hidden="false" customHeight="false" outlineLevel="0" collapsed="false">
      <c r="A25" s="67" t="s">
        <v>5</v>
      </c>
      <c r="B25" s="24" t="s">
        <v>844</v>
      </c>
      <c r="C25" s="24" t="s">
        <v>91</v>
      </c>
      <c r="D25" s="24" t="s">
        <v>862</v>
      </c>
      <c r="E25" s="24" t="s">
        <v>863</v>
      </c>
      <c r="F25" s="24" t="s">
        <v>855</v>
      </c>
    </row>
    <row r="26" customFormat="false" ht="15" hidden="false" customHeight="false" outlineLevel="0" collapsed="false">
      <c r="A26" s="67" t="s">
        <v>5</v>
      </c>
      <c r="B26" s="24" t="s">
        <v>844</v>
      </c>
      <c r="C26" s="24" t="s">
        <v>864</v>
      </c>
      <c r="D26" s="24"/>
      <c r="E26" s="24" t="s">
        <v>865</v>
      </c>
      <c r="F26" s="24" t="s">
        <v>855</v>
      </c>
    </row>
    <row r="27" customFormat="false" ht="15" hidden="false" customHeight="false" outlineLevel="0" collapsed="false">
      <c r="A27" s="67" t="s">
        <v>5</v>
      </c>
      <c r="B27" s="24" t="s">
        <v>844</v>
      </c>
      <c r="C27" s="24" t="s">
        <v>866</v>
      </c>
      <c r="D27" s="24" t="s">
        <v>867</v>
      </c>
      <c r="E27" s="24" t="s">
        <v>868</v>
      </c>
      <c r="F27" s="24" t="s">
        <v>859</v>
      </c>
    </row>
    <row r="28" customFormat="false" ht="15" hidden="false" customHeight="false" outlineLevel="0" collapsed="false">
      <c r="A28" s="67" t="s">
        <v>5</v>
      </c>
      <c r="B28" s="24" t="s">
        <v>844</v>
      </c>
      <c r="C28" s="24" t="s">
        <v>869</v>
      </c>
      <c r="D28" s="24" t="s">
        <v>870</v>
      </c>
      <c r="E28" s="24" t="s">
        <v>871</v>
      </c>
      <c r="F28" s="24" t="s">
        <v>855</v>
      </c>
    </row>
    <row r="29" customFormat="false" ht="15" hidden="false" customHeight="false" outlineLevel="0" collapsed="false">
      <c r="A29" s="67" t="s">
        <v>5</v>
      </c>
      <c r="B29" s="24" t="s">
        <v>844</v>
      </c>
      <c r="C29" s="24" t="s">
        <v>872</v>
      </c>
      <c r="D29" s="24"/>
      <c r="E29" s="24" t="s">
        <v>873</v>
      </c>
      <c r="F29" s="24" t="s">
        <v>874</v>
      </c>
    </row>
    <row r="30" customFormat="false" ht="22.35" hidden="false" customHeight="false" outlineLevel="0" collapsed="false">
      <c r="A30" s="67" t="s">
        <v>5</v>
      </c>
      <c r="B30" s="24" t="s">
        <v>875</v>
      </c>
      <c r="C30" s="24" t="s">
        <v>876</v>
      </c>
      <c r="D30" s="24"/>
      <c r="E30" s="24" t="s">
        <v>877</v>
      </c>
      <c r="F30" s="24" t="s">
        <v>29</v>
      </c>
    </row>
    <row r="31" customFormat="false" ht="15" hidden="false" customHeight="false" outlineLevel="0" collapsed="false">
      <c r="A31" s="67" t="s">
        <v>5</v>
      </c>
      <c r="B31" s="24" t="s">
        <v>878</v>
      </c>
      <c r="C31" s="24" t="s">
        <v>879</v>
      </c>
      <c r="D31" s="24"/>
      <c r="E31" s="24" t="s">
        <v>880</v>
      </c>
      <c r="F31" s="24" t="s">
        <v>881</v>
      </c>
    </row>
    <row r="32" customFormat="false" ht="15" hidden="false" customHeight="false" outlineLevel="0" collapsed="false">
      <c r="A32" s="67" t="s">
        <v>5</v>
      </c>
      <c r="B32" s="24" t="s">
        <v>878</v>
      </c>
      <c r="C32" s="24" t="s">
        <v>882</v>
      </c>
      <c r="D32" s="24"/>
      <c r="E32" s="24" t="s">
        <v>883</v>
      </c>
      <c r="F32" s="24" t="s">
        <v>29</v>
      </c>
    </row>
    <row r="33" customFormat="false" ht="22.35" hidden="false" customHeight="false" outlineLevel="0" collapsed="false">
      <c r="A33" s="68" t="s">
        <v>9</v>
      </c>
      <c r="B33" s="28" t="s">
        <v>884</v>
      </c>
      <c r="C33" s="28" t="s">
        <v>99</v>
      </c>
      <c r="D33" s="28" t="s">
        <v>885</v>
      </c>
      <c r="E33" s="28" t="s">
        <v>886</v>
      </c>
      <c r="F33" s="28" t="s">
        <v>29</v>
      </c>
    </row>
    <row r="34" customFormat="false" ht="15" hidden="false" customHeight="false" outlineLevel="0" collapsed="false">
      <c r="A34" s="68" t="s">
        <v>9</v>
      </c>
      <c r="B34" s="28" t="s">
        <v>884</v>
      </c>
      <c r="C34" s="28" t="s">
        <v>97</v>
      </c>
      <c r="D34" s="28" t="s">
        <v>887</v>
      </c>
      <c r="E34" s="28" t="s">
        <v>888</v>
      </c>
      <c r="F34" s="28" t="s">
        <v>889</v>
      </c>
    </row>
    <row r="35" customFormat="false" ht="15" hidden="false" customHeight="false" outlineLevel="0" collapsed="false">
      <c r="A35" s="68" t="s">
        <v>9</v>
      </c>
      <c r="B35" s="28" t="s">
        <v>884</v>
      </c>
      <c r="C35" s="28" t="s">
        <v>95</v>
      </c>
      <c r="D35" s="28" t="s">
        <v>890</v>
      </c>
      <c r="E35" s="28" t="s">
        <v>891</v>
      </c>
      <c r="F35" s="28" t="s">
        <v>892</v>
      </c>
    </row>
    <row r="36" customFormat="false" ht="15" hidden="false" customHeight="false" outlineLevel="0" collapsed="false">
      <c r="A36" s="75" t="s">
        <v>11</v>
      </c>
      <c r="B36" s="75" t="s">
        <v>893</v>
      </c>
      <c r="C36" s="75" t="s">
        <v>894</v>
      </c>
      <c r="D36" s="75"/>
      <c r="E36" s="75" t="s">
        <v>895</v>
      </c>
      <c r="F36" s="75" t="s">
        <v>896</v>
      </c>
    </row>
    <row r="37" customFormat="false" ht="15" hidden="false" customHeight="false" outlineLevel="0" collapsed="false">
      <c r="A37" s="75" t="s">
        <v>11</v>
      </c>
      <c r="B37" s="75" t="s">
        <v>893</v>
      </c>
      <c r="C37" s="75" t="s">
        <v>897</v>
      </c>
      <c r="D37" s="75" t="s">
        <v>898</v>
      </c>
      <c r="E37" s="75" t="s">
        <v>871</v>
      </c>
      <c r="F37" s="75" t="s">
        <v>899</v>
      </c>
    </row>
    <row r="38" customFormat="false" ht="15" hidden="false" customHeight="false" outlineLevel="0" collapsed="false">
      <c r="A38" s="32"/>
      <c r="B38" s="32" t="s">
        <v>893</v>
      </c>
      <c r="C38" s="32" t="s">
        <v>900</v>
      </c>
      <c r="D38" s="32" t="s">
        <v>901</v>
      </c>
      <c r="E38" s="32" t="s">
        <v>902</v>
      </c>
      <c r="F38" s="32" t="s">
        <v>29</v>
      </c>
    </row>
    <row r="39" customFormat="false" ht="15" hidden="false" customHeight="false" outlineLevel="0" collapsed="false">
      <c r="A39" s="32"/>
      <c r="B39" s="32" t="s">
        <v>893</v>
      </c>
      <c r="C39" s="32" t="s">
        <v>903</v>
      </c>
      <c r="D39" s="32" t="s">
        <v>904</v>
      </c>
      <c r="E39" s="32" t="s">
        <v>841</v>
      </c>
      <c r="F39" s="32" t="s">
        <v>29</v>
      </c>
    </row>
    <row r="40" customFormat="false" ht="15" hidden="false" customHeight="false" outlineLevel="0" collapsed="false">
      <c r="A40" s="32"/>
      <c r="B40" s="32" t="s">
        <v>893</v>
      </c>
      <c r="C40" s="32" t="s">
        <v>905</v>
      </c>
      <c r="D40" s="32"/>
      <c r="E40" s="32" t="s">
        <v>906</v>
      </c>
      <c r="F40" s="32" t="s">
        <v>907</v>
      </c>
    </row>
    <row r="41" customFormat="false" ht="15" hidden="false" customHeight="false" outlineLevel="0" collapsed="false">
      <c r="A41" s="32"/>
      <c r="B41" s="32" t="s">
        <v>893</v>
      </c>
      <c r="C41" s="32" t="s">
        <v>908</v>
      </c>
      <c r="D41" s="32" t="s">
        <v>909</v>
      </c>
      <c r="E41" s="32" t="s">
        <v>910</v>
      </c>
      <c r="F41" s="32" t="s">
        <v>911</v>
      </c>
    </row>
    <row r="42" customFormat="false" ht="15" hidden="false" customHeight="false" outlineLevel="0" collapsed="false">
      <c r="A42" s="32"/>
      <c r="B42" s="32" t="s">
        <v>893</v>
      </c>
      <c r="C42" s="32" t="s">
        <v>912</v>
      </c>
      <c r="D42" s="32"/>
      <c r="E42" s="32" t="s">
        <v>913</v>
      </c>
      <c r="F42" s="32" t="s">
        <v>914</v>
      </c>
    </row>
    <row r="43" customFormat="false" ht="15" hidden="false" customHeight="false" outlineLevel="0" collapsed="false">
      <c r="A43" s="32"/>
      <c r="B43" s="32" t="s">
        <v>915</v>
      </c>
      <c r="C43" s="32" t="s">
        <v>916</v>
      </c>
      <c r="D43" s="32" t="s">
        <v>917</v>
      </c>
      <c r="E43" s="32" t="s">
        <v>841</v>
      </c>
      <c r="F43" s="32" t="s">
        <v>918</v>
      </c>
    </row>
    <row r="44" customFormat="false" ht="15" hidden="false" customHeight="false" outlineLevel="0" collapsed="false">
      <c r="A44" s="32"/>
      <c r="B44" s="32" t="s">
        <v>915</v>
      </c>
      <c r="C44" s="32" t="s">
        <v>919</v>
      </c>
      <c r="D44" s="32"/>
      <c r="E44" s="32" t="s">
        <v>920</v>
      </c>
      <c r="F44" s="32" t="s">
        <v>921</v>
      </c>
    </row>
    <row r="45" customFormat="false" ht="15" hidden="false" customHeight="false" outlineLevel="0" collapsed="false">
      <c r="A45" s="68" t="s">
        <v>9</v>
      </c>
      <c r="B45" s="28" t="s">
        <v>922</v>
      </c>
      <c r="C45" s="28" t="s">
        <v>923</v>
      </c>
      <c r="D45" s="28"/>
      <c r="E45" s="28" t="s">
        <v>924</v>
      </c>
      <c r="F45" s="28" t="s">
        <v>925</v>
      </c>
    </row>
    <row r="46" customFormat="false" ht="15" hidden="false" customHeight="false" outlineLevel="0" collapsed="false">
      <c r="A46" s="68" t="s">
        <v>9</v>
      </c>
      <c r="B46" s="28" t="s">
        <v>926</v>
      </c>
      <c r="C46" s="28" t="s">
        <v>927</v>
      </c>
      <c r="D46" s="28"/>
      <c r="E46" s="28" t="s">
        <v>928</v>
      </c>
      <c r="F46" s="28" t="s">
        <v>929</v>
      </c>
    </row>
    <row r="47" customFormat="false" ht="15" hidden="false" customHeight="false" outlineLevel="0" collapsed="false">
      <c r="A47" s="68" t="s">
        <v>9</v>
      </c>
      <c r="B47" s="28" t="s">
        <v>930</v>
      </c>
      <c r="C47" s="28" t="s">
        <v>931</v>
      </c>
      <c r="D47" s="28"/>
      <c r="E47" s="28" t="s">
        <v>932</v>
      </c>
      <c r="F47" s="28" t="s">
        <v>933</v>
      </c>
    </row>
    <row r="48" customFormat="false" ht="15" hidden="false" customHeight="false" outlineLevel="0" collapsed="false">
      <c r="A48" s="32"/>
      <c r="B48" s="32" t="s">
        <v>934</v>
      </c>
      <c r="C48" s="32" t="s">
        <v>935</v>
      </c>
      <c r="D48" s="32"/>
      <c r="E48" s="32" t="s">
        <v>936</v>
      </c>
      <c r="F48" s="32" t="s">
        <v>937</v>
      </c>
    </row>
    <row r="49" customFormat="false" ht="15" hidden="false" customHeight="false" outlineLevel="0" collapsed="false">
      <c r="A49" s="32"/>
      <c r="B49" s="32" t="s">
        <v>635</v>
      </c>
      <c r="C49" s="32" t="s">
        <v>938</v>
      </c>
      <c r="D49" s="32" t="s">
        <v>939</v>
      </c>
      <c r="E49" s="32" t="s">
        <v>940</v>
      </c>
      <c r="F49" s="32" t="s">
        <v>29</v>
      </c>
    </row>
  </sheetData>
  <autoFilter ref="A2:F49"/>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36"/>
    <col collapsed="false" customWidth="true" hidden="false" outlineLevel="0" max="4" min="4" style="0" width="80"/>
    <col collapsed="false" customWidth="true" hidden="false" outlineLevel="0" max="5" min="5" style="0" width="16"/>
  </cols>
  <sheetData>
    <row r="1" customFormat="false" ht="30" hidden="false" customHeight="true" outlineLevel="0" collapsed="false">
      <c r="A1" s="63" t="s">
        <v>941</v>
      </c>
      <c r="B1" s="63"/>
      <c r="C1" s="63"/>
      <c r="D1" s="63"/>
      <c r="E1" s="63"/>
    </row>
    <row r="2" customFormat="false" ht="15" hidden="false" customHeight="false" outlineLevel="0" collapsed="false">
      <c r="A2" s="19" t="s">
        <v>277</v>
      </c>
      <c r="B2" s="19" t="s">
        <v>329</v>
      </c>
      <c r="C2" s="19" t="s">
        <v>942</v>
      </c>
      <c r="D2" s="19" t="s">
        <v>943</v>
      </c>
      <c r="E2" s="19" t="s">
        <v>944</v>
      </c>
    </row>
    <row r="3" customFormat="false" ht="22.35" hidden="false" customHeight="false" outlineLevel="0" collapsed="false">
      <c r="A3" s="66" t="s">
        <v>3</v>
      </c>
      <c r="B3" s="20" t="s">
        <v>945</v>
      </c>
      <c r="C3" s="20" t="s">
        <v>946</v>
      </c>
      <c r="D3" s="20" t="s">
        <v>947</v>
      </c>
      <c r="E3" s="20" t="s">
        <v>948</v>
      </c>
    </row>
    <row r="4" customFormat="false" ht="22.35" hidden="false" customHeight="false" outlineLevel="0" collapsed="false">
      <c r="A4" s="66" t="s">
        <v>3</v>
      </c>
      <c r="B4" s="20" t="s">
        <v>949</v>
      </c>
      <c r="C4" s="20" t="s">
        <v>950</v>
      </c>
      <c r="D4" s="20" t="s">
        <v>951</v>
      </c>
      <c r="E4" s="20" t="s">
        <v>952</v>
      </c>
    </row>
    <row r="5" customFormat="false" ht="15" hidden="false" customHeight="false" outlineLevel="0" collapsed="false">
      <c r="A5" s="66" t="s">
        <v>3</v>
      </c>
      <c r="B5" s="20" t="s">
        <v>953</v>
      </c>
      <c r="C5" s="20" t="s">
        <v>954</v>
      </c>
      <c r="D5" s="20" t="s">
        <v>955</v>
      </c>
      <c r="E5" s="20" t="s">
        <v>956</v>
      </c>
    </row>
    <row r="6" customFormat="false" ht="15" hidden="false" customHeight="false" outlineLevel="0" collapsed="false">
      <c r="A6" s="66" t="s">
        <v>3</v>
      </c>
      <c r="B6" s="20" t="s">
        <v>953</v>
      </c>
      <c r="C6" s="20" t="s">
        <v>957</v>
      </c>
      <c r="D6" s="20" t="s">
        <v>958</v>
      </c>
      <c r="E6" s="20" t="s">
        <v>959</v>
      </c>
    </row>
    <row r="7" customFormat="false" ht="15" hidden="false" customHeight="false" outlineLevel="0" collapsed="false">
      <c r="A7" s="66" t="s">
        <v>3</v>
      </c>
      <c r="B7" s="20" t="s">
        <v>953</v>
      </c>
      <c r="C7" s="20" t="s">
        <v>960</v>
      </c>
      <c r="D7" s="20" t="s">
        <v>961</v>
      </c>
      <c r="E7" s="20" t="s">
        <v>959</v>
      </c>
    </row>
    <row r="8" customFormat="false" ht="15" hidden="false" customHeight="false" outlineLevel="0" collapsed="false">
      <c r="A8" s="66" t="s">
        <v>3</v>
      </c>
      <c r="B8" s="20" t="s">
        <v>953</v>
      </c>
      <c r="C8" s="20" t="s">
        <v>962</v>
      </c>
      <c r="D8" s="20" t="s">
        <v>963</v>
      </c>
      <c r="E8" s="20" t="s">
        <v>959</v>
      </c>
    </row>
    <row r="9" customFormat="false" ht="15" hidden="false" customHeight="false" outlineLevel="0" collapsed="false">
      <c r="A9" s="66" t="s">
        <v>3</v>
      </c>
      <c r="B9" s="20" t="s">
        <v>953</v>
      </c>
      <c r="C9" s="20" t="s">
        <v>964</v>
      </c>
      <c r="D9" s="20" t="s">
        <v>965</v>
      </c>
      <c r="E9" s="20" t="s">
        <v>966</v>
      </c>
    </row>
    <row r="10" customFormat="false" ht="22.35" hidden="false" customHeight="false" outlineLevel="0" collapsed="false">
      <c r="A10" s="66" t="s">
        <v>3</v>
      </c>
      <c r="B10" s="20" t="s">
        <v>953</v>
      </c>
      <c r="C10" s="20" t="s">
        <v>967</v>
      </c>
      <c r="D10" s="20" t="s">
        <v>968</v>
      </c>
      <c r="E10" s="20" t="s">
        <v>969</v>
      </c>
    </row>
    <row r="11" customFormat="false" ht="15" hidden="false" customHeight="false" outlineLevel="0" collapsed="false">
      <c r="A11" s="66" t="s">
        <v>3</v>
      </c>
      <c r="B11" s="20" t="s">
        <v>953</v>
      </c>
      <c r="C11" s="20" t="s">
        <v>970</v>
      </c>
      <c r="D11" s="20" t="s">
        <v>971</v>
      </c>
      <c r="E11" s="20" t="s">
        <v>972</v>
      </c>
    </row>
    <row r="12" customFormat="false" ht="22.35" hidden="false" customHeight="false" outlineLevel="0" collapsed="false">
      <c r="A12" s="66" t="s">
        <v>3</v>
      </c>
      <c r="B12" s="20" t="s">
        <v>953</v>
      </c>
      <c r="C12" s="20" t="s">
        <v>973</v>
      </c>
      <c r="D12" s="20" t="s">
        <v>974</v>
      </c>
      <c r="E12" s="20" t="s">
        <v>975</v>
      </c>
    </row>
    <row r="13" customFormat="false" ht="15" hidden="false" customHeight="false" outlineLevel="0" collapsed="false">
      <c r="A13" s="67" t="s">
        <v>5</v>
      </c>
      <c r="B13" s="24" t="s">
        <v>976</v>
      </c>
      <c r="C13" s="24" t="s">
        <v>977</v>
      </c>
      <c r="D13" s="24" t="s">
        <v>978</v>
      </c>
      <c r="E13" s="24" t="s">
        <v>948</v>
      </c>
    </row>
    <row r="14" customFormat="false" ht="15" hidden="false" customHeight="false" outlineLevel="0" collapsed="false">
      <c r="A14" s="67" t="s">
        <v>5</v>
      </c>
      <c r="B14" s="24" t="s">
        <v>976</v>
      </c>
      <c r="C14" s="24" t="s">
        <v>979</v>
      </c>
      <c r="D14" s="24" t="s">
        <v>978</v>
      </c>
      <c r="E14" s="24" t="s">
        <v>948</v>
      </c>
    </row>
    <row r="15" customFormat="false" ht="15" hidden="false" customHeight="false" outlineLevel="0" collapsed="false">
      <c r="A15" s="67" t="s">
        <v>5</v>
      </c>
      <c r="B15" s="24" t="s">
        <v>976</v>
      </c>
      <c r="C15" s="24" t="s">
        <v>980</v>
      </c>
      <c r="D15" s="24" t="s">
        <v>981</v>
      </c>
      <c r="E15" s="24" t="s">
        <v>982</v>
      </c>
    </row>
    <row r="16" customFormat="false" ht="22.35" hidden="false" customHeight="false" outlineLevel="0" collapsed="false">
      <c r="A16" s="67" t="s">
        <v>5</v>
      </c>
      <c r="B16" s="24" t="s">
        <v>976</v>
      </c>
      <c r="C16" s="24" t="s">
        <v>983</v>
      </c>
      <c r="D16" s="24" t="s">
        <v>984</v>
      </c>
      <c r="E16" s="24" t="s">
        <v>952</v>
      </c>
    </row>
    <row r="17" customFormat="false" ht="15" hidden="false" customHeight="false" outlineLevel="0" collapsed="false">
      <c r="A17" s="67" t="s">
        <v>5</v>
      </c>
      <c r="B17" s="24" t="s">
        <v>976</v>
      </c>
      <c r="C17" s="24" t="s">
        <v>985</v>
      </c>
      <c r="D17" s="24" t="s">
        <v>986</v>
      </c>
      <c r="E17" s="24" t="s">
        <v>987</v>
      </c>
    </row>
    <row r="18" customFormat="false" ht="15" hidden="false" customHeight="false" outlineLevel="0" collapsed="false">
      <c r="A18" s="68" t="s">
        <v>9</v>
      </c>
      <c r="B18" s="28" t="s">
        <v>976</v>
      </c>
      <c r="C18" s="28" t="s">
        <v>570</v>
      </c>
      <c r="D18" s="28" t="s">
        <v>988</v>
      </c>
      <c r="E18" s="28" t="s">
        <v>989</v>
      </c>
    </row>
    <row r="19" customFormat="false" ht="15" hidden="false" customHeight="false" outlineLevel="0" collapsed="false">
      <c r="A19" s="67" t="s">
        <v>5</v>
      </c>
      <c r="B19" s="24" t="s">
        <v>976</v>
      </c>
      <c r="C19" s="24" t="s">
        <v>990</v>
      </c>
      <c r="D19" s="24" t="s">
        <v>991</v>
      </c>
      <c r="E19" s="24" t="s">
        <v>992</v>
      </c>
    </row>
    <row r="20" customFormat="false" ht="15" hidden="false" customHeight="false" outlineLevel="0" collapsed="false">
      <c r="A20" s="67" t="s">
        <v>5</v>
      </c>
      <c r="B20" s="24" t="s">
        <v>976</v>
      </c>
      <c r="C20" s="24" t="s">
        <v>993</v>
      </c>
      <c r="D20" s="24" t="s">
        <v>994</v>
      </c>
      <c r="E20" s="24" t="s">
        <v>995</v>
      </c>
    </row>
    <row r="21" customFormat="false" ht="15" hidden="false" customHeight="false" outlineLevel="0" collapsed="false">
      <c r="A21" s="67" t="s">
        <v>5</v>
      </c>
      <c r="B21" s="24" t="s">
        <v>976</v>
      </c>
      <c r="C21" s="24" t="s">
        <v>996</v>
      </c>
      <c r="D21" s="24" t="s">
        <v>997</v>
      </c>
      <c r="E21" s="24" t="s">
        <v>998</v>
      </c>
    </row>
    <row r="22" customFormat="false" ht="15" hidden="false" customHeight="false" outlineLevel="0" collapsed="false">
      <c r="A22" s="67" t="s">
        <v>5</v>
      </c>
      <c r="B22" s="24" t="s">
        <v>976</v>
      </c>
      <c r="C22" s="24" t="s">
        <v>999</v>
      </c>
      <c r="D22" s="24" t="s">
        <v>1000</v>
      </c>
      <c r="E22" s="24" t="s">
        <v>995</v>
      </c>
    </row>
    <row r="23" customFormat="false" ht="22.35" hidden="false" customHeight="false" outlineLevel="0" collapsed="false">
      <c r="A23" s="68" t="s">
        <v>9</v>
      </c>
      <c r="B23" s="28" t="s">
        <v>1001</v>
      </c>
      <c r="C23" s="28" t="s">
        <v>1002</v>
      </c>
      <c r="D23" s="28" t="s">
        <v>1003</v>
      </c>
      <c r="E23" s="28" t="s">
        <v>1004</v>
      </c>
    </row>
    <row r="24" customFormat="false" ht="15" hidden="false" customHeight="false" outlineLevel="0" collapsed="false">
      <c r="A24" s="68" t="s">
        <v>9</v>
      </c>
      <c r="B24" s="28" t="s">
        <v>1001</v>
      </c>
      <c r="C24" s="28" t="s">
        <v>1005</v>
      </c>
      <c r="D24" s="28" t="s">
        <v>1006</v>
      </c>
      <c r="E24" s="28" t="s">
        <v>952</v>
      </c>
    </row>
    <row r="25" customFormat="false" ht="22.35" hidden="false" customHeight="false" outlineLevel="0" collapsed="false">
      <c r="A25" s="67" t="s">
        <v>5</v>
      </c>
      <c r="B25" s="24" t="s">
        <v>1001</v>
      </c>
      <c r="C25" s="24" t="s">
        <v>1007</v>
      </c>
      <c r="D25" s="24" t="s">
        <v>1008</v>
      </c>
      <c r="E25" s="24" t="s">
        <v>1009</v>
      </c>
    </row>
    <row r="26" customFormat="false" ht="22.35" hidden="false" customHeight="false" outlineLevel="0" collapsed="false">
      <c r="A26" s="67" t="s">
        <v>5</v>
      </c>
      <c r="B26" s="24" t="s">
        <v>1001</v>
      </c>
      <c r="C26" s="24" t="s">
        <v>1010</v>
      </c>
      <c r="D26" s="24" t="s">
        <v>1011</v>
      </c>
      <c r="E26" s="24" t="s">
        <v>1012</v>
      </c>
    </row>
    <row r="27" customFormat="false" ht="15" hidden="false" customHeight="false" outlineLevel="0" collapsed="false">
      <c r="A27" s="67" t="s">
        <v>5</v>
      </c>
      <c r="B27" s="24" t="s">
        <v>1001</v>
      </c>
      <c r="C27" s="24" t="s">
        <v>1013</v>
      </c>
      <c r="D27" s="24" t="s">
        <v>1014</v>
      </c>
      <c r="E27" s="24" t="s">
        <v>952</v>
      </c>
    </row>
    <row r="28" customFormat="false" ht="15" hidden="false" customHeight="false" outlineLevel="0" collapsed="false">
      <c r="A28" s="67" t="s">
        <v>5</v>
      </c>
      <c r="B28" s="24" t="s">
        <v>1015</v>
      </c>
      <c r="C28" s="24" t="s">
        <v>1016</v>
      </c>
      <c r="D28" s="24" t="s">
        <v>1017</v>
      </c>
      <c r="E28" s="24" t="s">
        <v>1018</v>
      </c>
    </row>
    <row r="29" customFormat="false" ht="15" hidden="false" customHeight="false" outlineLevel="0" collapsed="false">
      <c r="A29" s="67" t="s">
        <v>5</v>
      </c>
      <c r="B29" s="24" t="s">
        <v>1015</v>
      </c>
      <c r="C29" s="24" t="s">
        <v>1019</v>
      </c>
      <c r="D29" s="24" t="s">
        <v>1020</v>
      </c>
      <c r="E29" s="24" t="s">
        <v>1021</v>
      </c>
    </row>
    <row r="30" customFormat="false" ht="15" hidden="false" customHeight="false" outlineLevel="0" collapsed="false">
      <c r="A30" s="67" t="s">
        <v>5</v>
      </c>
      <c r="B30" s="24" t="s">
        <v>1015</v>
      </c>
      <c r="C30" s="24" t="s">
        <v>1022</v>
      </c>
      <c r="D30" s="24" t="s">
        <v>1023</v>
      </c>
      <c r="E30" s="24" t="s">
        <v>1024</v>
      </c>
    </row>
    <row r="31" customFormat="false" ht="22.35" hidden="false" customHeight="false" outlineLevel="0" collapsed="false">
      <c r="A31" s="67" t="s">
        <v>5</v>
      </c>
      <c r="B31" s="24" t="s">
        <v>1025</v>
      </c>
      <c r="C31" s="24" t="s">
        <v>1026</v>
      </c>
      <c r="D31" s="24" t="s">
        <v>1027</v>
      </c>
      <c r="E31" s="24" t="s">
        <v>1028</v>
      </c>
    </row>
    <row r="32" customFormat="false" ht="15" hidden="false" customHeight="false" outlineLevel="0" collapsed="false">
      <c r="A32" s="32"/>
      <c r="B32" s="32" t="s">
        <v>455</v>
      </c>
      <c r="C32" s="32" t="s">
        <v>1029</v>
      </c>
      <c r="D32" s="32" t="s">
        <v>1030</v>
      </c>
      <c r="E32" s="32" t="s">
        <v>948</v>
      </c>
    </row>
    <row r="33" customFormat="false" ht="15" hidden="false" customHeight="false" outlineLevel="0" collapsed="false">
      <c r="A33" s="32"/>
      <c r="B33" s="32" t="s">
        <v>455</v>
      </c>
      <c r="C33" s="32" t="s">
        <v>1031</v>
      </c>
      <c r="D33" s="32" t="s">
        <v>1032</v>
      </c>
      <c r="E33" s="32" t="s">
        <v>1033</v>
      </c>
    </row>
    <row r="34" customFormat="false" ht="15" hidden="false" customHeight="false" outlineLevel="0" collapsed="false">
      <c r="A34" s="68" t="s">
        <v>9</v>
      </c>
      <c r="B34" s="28" t="s">
        <v>455</v>
      </c>
      <c r="C34" s="28" t="s">
        <v>1034</v>
      </c>
      <c r="D34" s="28" t="s">
        <v>1035</v>
      </c>
      <c r="E34" s="28" t="s">
        <v>952</v>
      </c>
    </row>
    <row r="35" customFormat="false" ht="15" hidden="false" customHeight="false" outlineLevel="0" collapsed="false">
      <c r="A35" s="32"/>
      <c r="B35" s="32" t="s">
        <v>455</v>
      </c>
      <c r="C35" s="32" t="s">
        <v>1036</v>
      </c>
      <c r="D35" s="32" t="s">
        <v>1037</v>
      </c>
      <c r="E35" s="32" t="s">
        <v>952</v>
      </c>
    </row>
    <row r="36" customFormat="false" ht="15" hidden="false" customHeight="false" outlineLevel="0" collapsed="false">
      <c r="A36" s="32"/>
      <c r="B36" s="32" t="s">
        <v>455</v>
      </c>
      <c r="C36" s="32" t="s">
        <v>1038</v>
      </c>
      <c r="D36" s="32" t="s">
        <v>1039</v>
      </c>
      <c r="E36" s="32" t="s">
        <v>1040</v>
      </c>
    </row>
    <row r="37" customFormat="false" ht="15" hidden="false" customHeight="false" outlineLevel="0" collapsed="false">
      <c r="A37" s="32"/>
      <c r="B37" s="32" t="s">
        <v>455</v>
      </c>
      <c r="C37" s="32" t="s">
        <v>1041</v>
      </c>
      <c r="D37" s="32" t="s">
        <v>1042</v>
      </c>
      <c r="E37" s="32" t="s">
        <v>989</v>
      </c>
    </row>
    <row r="38" customFormat="false" ht="15" hidden="false" customHeight="false" outlineLevel="0" collapsed="false">
      <c r="A38" s="32"/>
      <c r="B38" s="32" t="s">
        <v>1043</v>
      </c>
      <c r="C38" s="32" t="s">
        <v>1044</v>
      </c>
      <c r="D38" s="32" t="s">
        <v>1045</v>
      </c>
      <c r="E38" s="32" t="s">
        <v>1046</v>
      </c>
    </row>
    <row r="39" customFormat="false" ht="15" hidden="false" customHeight="false" outlineLevel="0" collapsed="false">
      <c r="A39" s="32"/>
      <c r="B39" s="32" t="s">
        <v>1047</v>
      </c>
      <c r="C39" s="32" t="s">
        <v>1048</v>
      </c>
      <c r="D39" s="32" t="s">
        <v>1049</v>
      </c>
      <c r="E39" s="32" t="s">
        <v>1050</v>
      </c>
    </row>
    <row r="40" customFormat="false" ht="15" hidden="false" customHeight="false" outlineLevel="0" collapsed="false">
      <c r="A40" s="32"/>
      <c r="B40" s="32" t="s">
        <v>1015</v>
      </c>
      <c r="C40" s="32" t="s">
        <v>1051</v>
      </c>
      <c r="D40" s="32" t="s">
        <v>1052</v>
      </c>
      <c r="E40" s="32" t="s">
        <v>1018</v>
      </c>
    </row>
    <row r="41" customFormat="false" ht="15" hidden="false" customHeight="false" outlineLevel="0" collapsed="false">
      <c r="A41" s="32"/>
      <c r="B41" s="32" t="s">
        <v>1015</v>
      </c>
      <c r="C41" s="32" t="s">
        <v>1053</v>
      </c>
      <c r="D41" s="32" t="s">
        <v>1054</v>
      </c>
      <c r="E41" s="32" t="s">
        <v>1021</v>
      </c>
    </row>
    <row r="42" customFormat="false" ht="15" hidden="false" customHeight="false" outlineLevel="0" collapsed="false">
      <c r="A42" s="32"/>
      <c r="B42" s="32" t="s">
        <v>1015</v>
      </c>
      <c r="C42" s="32" t="s">
        <v>1055</v>
      </c>
      <c r="D42" s="32" t="s">
        <v>1056</v>
      </c>
      <c r="E42" s="32" t="s">
        <v>1057</v>
      </c>
    </row>
    <row r="43" customFormat="false" ht="15" hidden="false" customHeight="false" outlineLevel="0" collapsed="false">
      <c r="A43" s="32"/>
      <c r="B43" s="32" t="s">
        <v>1015</v>
      </c>
      <c r="C43" s="32" t="s">
        <v>1058</v>
      </c>
      <c r="D43" s="32" t="s">
        <v>1059</v>
      </c>
      <c r="E43" s="32" t="s">
        <v>1060</v>
      </c>
    </row>
    <row r="44" customFormat="false" ht="15" hidden="false" customHeight="false" outlineLevel="0" collapsed="false">
      <c r="A44" s="32"/>
      <c r="B44" s="32" t="s">
        <v>1015</v>
      </c>
      <c r="C44" s="32" t="s">
        <v>1061</v>
      </c>
      <c r="D44" s="32" t="s">
        <v>1062</v>
      </c>
      <c r="E44" s="32" t="s">
        <v>1021</v>
      </c>
    </row>
    <row r="45" customFormat="false" ht="15" hidden="false" customHeight="false" outlineLevel="0" collapsed="false">
      <c r="A45" s="32"/>
      <c r="B45" s="32" t="s">
        <v>1015</v>
      </c>
      <c r="C45" s="32" t="s">
        <v>1063</v>
      </c>
      <c r="D45" s="32" t="s">
        <v>1064</v>
      </c>
      <c r="E45" s="32" t="s">
        <v>1018</v>
      </c>
    </row>
    <row r="46" customFormat="false" ht="15" hidden="false" customHeight="false" outlineLevel="0" collapsed="false">
      <c r="A46" s="32"/>
      <c r="B46" s="32" t="s">
        <v>1015</v>
      </c>
      <c r="C46" s="32" t="s">
        <v>1065</v>
      </c>
      <c r="D46" s="32" t="s">
        <v>1066</v>
      </c>
      <c r="E46" s="32" t="s">
        <v>956</v>
      </c>
    </row>
    <row r="47" customFormat="false" ht="15" hidden="false" customHeight="false" outlineLevel="0" collapsed="false">
      <c r="A47" s="68" t="s">
        <v>9</v>
      </c>
      <c r="B47" s="28" t="s">
        <v>1067</v>
      </c>
      <c r="C47" s="28" t="s">
        <v>1068</v>
      </c>
      <c r="D47" s="28" t="s">
        <v>1069</v>
      </c>
      <c r="E47" s="28" t="s">
        <v>948</v>
      </c>
    </row>
    <row r="48" customFormat="false" ht="15" hidden="false" customHeight="false" outlineLevel="0" collapsed="false">
      <c r="A48" s="32"/>
      <c r="B48" s="32" t="s">
        <v>1070</v>
      </c>
      <c r="C48" s="32" t="s">
        <v>1071</v>
      </c>
      <c r="D48" s="32" t="s">
        <v>1072</v>
      </c>
      <c r="E48" s="32" t="s">
        <v>1033</v>
      </c>
    </row>
  </sheetData>
  <autoFilter ref="A2:E48"/>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00"/>
  </cols>
  <sheetData>
    <row r="1" customFormat="false" ht="30" hidden="false" customHeight="true" outlineLevel="0" collapsed="false">
      <c r="A1" s="63" t="s">
        <v>1073</v>
      </c>
      <c r="B1" s="63"/>
      <c r="C1" s="63"/>
    </row>
    <row r="2" customFormat="false" ht="15" hidden="false" customHeight="false" outlineLevel="0" collapsed="false">
      <c r="A2" s="19" t="s">
        <v>277</v>
      </c>
      <c r="B2" s="19" t="s">
        <v>1074</v>
      </c>
      <c r="C2" s="19" t="s">
        <v>1075</v>
      </c>
    </row>
    <row r="3" customFormat="false" ht="15" hidden="false" customHeight="false" outlineLevel="0" collapsed="false">
      <c r="A3" s="32"/>
      <c r="B3" s="32" t="s">
        <v>1076</v>
      </c>
      <c r="C3" s="32" t="s">
        <v>1077</v>
      </c>
    </row>
    <row r="4" customFormat="false" ht="15" hidden="false" customHeight="false" outlineLevel="0" collapsed="false">
      <c r="A4" s="32"/>
      <c r="B4" s="32" t="s">
        <v>1078</v>
      </c>
      <c r="C4" s="32" t="s">
        <v>1079</v>
      </c>
    </row>
    <row r="5" customFormat="false" ht="15" hidden="false" customHeight="false" outlineLevel="0" collapsed="false">
      <c r="A5" s="67" t="s">
        <v>5</v>
      </c>
      <c r="B5" s="24" t="s">
        <v>1080</v>
      </c>
      <c r="C5" s="24" t="s">
        <v>1081</v>
      </c>
    </row>
    <row r="6" customFormat="false" ht="15" hidden="false" customHeight="false" outlineLevel="0" collapsed="false">
      <c r="A6" s="67" t="s">
        <v>5</v>
      </c>
      <c r="B6" s="24" t="s">
        <v>1080</v>
      </c>
      <c r="C6" s="24" t="s">
        <v>1082</v>
      </c>
    </row>
    <row r="7" customFormat="false" ht="15" hidden="false" customHeight="false" outlineLevel="0" collapsed="false">
      <c r="A7" s="67" t="s">
        <v>5</v>
      </c>
      <c r="B7" s="24" t="s">
        <v>1080</v>
      </c>
      <c r="C7" s="24" t="s">
        <v>1083</v>
      </c>
    </row>
    <row r="8" customFormat="false" ht="15" hidden="false" customHeight="false" outlineLevel="0" collapsed="false">
      <c r="A8" s="68" t="s">
        <v>9</v>
      </c>
      <c r="B8" s="28" t="s">
        <v>1080</v>
      </c>
      <c r="C8" s="28" t="s">
        <v>1084</v>
      </c>
    </row>
    <row r="9" customFormat="false" ht="15" hidden="false" customHeight="false" outlineLevel="0" collapsed="false">
      <c r="A9" s="32"/>
      <c r="B9" s="32" t="s">
        <v>1080</v>
      </c>
      <c r="C9" s="32" t="s">
        <v>1085</v>
      </c>
    </row>
    <row r="10" customFormat="false" ht="15" hidden="false" customHeight="false" outlineLevel="0" collapsed="false">
      <c r="A10" s="67" t="s">
        <v>5</v>
      </c>
      <c r="B10" s="24" t="s">
        <v>1086</v>
      </c>
      <c r="C10" s="24" t="s">
        <v>1087</v>
      </c>
    </row>
    <row r="11" customFormat="false" ht="15" hidden="false" customHeight="false" outlineLevel="0" collapsed="false">
      <c r="A11" s="32"/>
      <c r="B11" s="32" t="s">
        <v>1086</v>
      </c>
      <c r="C11" s="32" t="s">
        <v>1088</v>
      </c>
    </row>
    <row r="12" customFormat="false" ht="15" hidden="false" customHeight="false" outlineLevel="0" collapsed="false">
      <c r="A12" s="68" t="s">
        <v>9</v>
      </c>
      <c r="B12" s="28" t="s">
        <v>1086</v>
      </c>
      <c r="C12" s="28" t="s">
        <v>1089</v>
      </c>
    </row>
    <row r="13" customFormat="false" ht="15" hidden="false" customHeight="false" outlineLevel="0" collapsed="false">
      <c r="A13" s="67" t="s">
        <v>5</v>
      </c>
      <c r="B13" s="24" t="s">
        <v>1086</v>
      </c>
      <c r="C13" s="24" t="s">
        <v>1090</v>
      </c>
    </row>
    <row r="14" customFormat="false" ht="15" hidden="false" customHeight="false" outlineLevel="0" collapsed="false">
      <c r="A14" s="67" t="s">
        <v>5</v>
      </c>
      <c r="B14" s="24" t="s">
        <v>1086</v>
      </c>
      <c r="C14" s="24" t="s">
        <v>1091</v>
      </c>
    </row>
    <row r="15" customFormat="false" ht="15" hidden="false" customHeight="false" outlineLevel="0" collapsed="false">
      <c r="A15" s="66" t="s">
        <v>3</v>
      </c>
      <c r="B15" s="20" t="s">
        <v>1086</v>
      </c>
      <c r="C15" s="20" t="s">
        <v>1092</v>
      </c>
    </row>
    <row r="16" customFormat="false" ht="15" hidden="false" customHeight="false" outlineLevel="0" collapsed="false">
      <c r="A16" s="32"/>
      <c r="B16" s="32" t="s">
        <v>1086</v>
      </c>
      <c r="C16" s="32" t="s">
        <v>1093</v>
      </c>
    </row>
    <row r="17" customFormat="false" ht="15" hidden="false" customHeight="false" outlineLevel="0" collapsed="false">
      <c r="A17" s="32"/>
      <c r="B17" s="32" t="s">
        <v>1094</v>
      </c>
      <c r="C17" s="32" t="s">
        <v>1095</v>
      </c>
    </row>
    <row r="18" customFormat="false" ht="22.35" hidden="false" customHeight="false" outlineLevel="0" collapsed="false">
      <c r="A18" s="67" t="s">
        <v>5</v>
      </c>
      <c r="B18" s="24" t="s">
        <v>1096</v>
      </c>
      <c r="C18" s="24" t="s">
        <v>1097</v>
      </c>
    </row>
    <row r="19" customFormat="false" ht="15" hidden="false" customHeight="false" outlineLevel="0" collapsed="false">
      <c r="A19" s="68" t="s">
        <v>9</v>
      </c>
      <c r="B19" s="28" t="s">
        <v>1098</v>
      </c>
      <c r="C19" s="28" t="s">
        <v>1099</v>
      </c>
    </row>
    <row r="20" customFormat="false" ht="22.35" hidden="false" customHeight="false" outlineLevel="0" collapsed="false">
      <c r="A20" s="32"/>
      <c r="B20" s="32" t="s">
        <v>1100</v>
      </c>
      <c r="C20" s="32" t="s">
        <v>1101</v>
      </c>
    </row>
  </sheetData>
  <autoFilter ref="A2:C20"/>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30"/>
    <col collapsed="false" customWidth="true" hidden="false" outlineLevel="0" max="4" min="4" style="0" width="80"/>
    <col collapsed="false" customWidth="true" hidden="false" outlineLevel="0" max="5" min="5" style="0" width="40"/>
  </cols>
  <sheetData>
    <row r="1" customFormat="false" ht="30" hidden="false" customHeight="true" outlineLevel="0" collapsed="false">
      <c r="A1" s="63" t="s">
        <v>1102</v>
      </c>
      <c r="B1" s="63"/>
      <c r="C1" s="63"/>
      <c r="D1" s="63"/>
      <c r="E1" s="63"/>
    </row>
    <row r="2" customFormat="false" ht="15" hidden="false" customHeight="false" outlineLevel="0" collapsed="false">
      <c r="A2" s="19" t="s">
        <v>277</v>
      </c>
      <c r="B2" s="19" t="s">
        <v>156</v>
      </c>
      <c r="C2" s="19" t="s">
        <v>1103</v>
      </c>
      <c r="D2" s="19" t="s">
        <v>1104</v>
      </c>
      <c r="E2" s="19" t="s">
        <v>1105</v>
      </c>
    </row>
    <row r="3" customFormat="false" ht="22.35" hidden="false" customHeight="false" outlineLevel="0" collapsed="false">
      <c r="A3" s="66" t="s">
        <v>3</v>
      </c>
      <c r="B3" s="20" t="s">
        <v>1106</v>
      </c>
      <c r="C3" s="20" t="s">
        <v>1107</v>
      </c>
      <c r="D3" s="20" t="s">
        <v>1108</v>
      </c>
      <c r="E3" s="20" t="s">
        <v>1109</v>
      </c>
    </row>
    <row r="4" customFormat="false" ht="22.35" hidden="false" customHeight="false" outlineLevel="0" collapsed="false">
      <c r="A4" s="77" t="s">
        <v>7</v>
      </c>
      <c r="B4" s="78" t="s">
        <v>1106</v>
      </c>
      <c r="C4" s="78" t="s">
        <v>1110</v>
      </c>
      <c r="D4" s="78" t="s">
        <v>1111</v>
      </c>
      <c r="E4" s="78" t="s">
        <v>1112</v>
      </c>
    </row>
    <row r="5" customFormat="false" ht="22.35" hidden="false" customHeight="false" outlineLevel="0" collapsed="false">
      <c r="A5" s="77" t="s">
        <v>7</v>
      </c>
      <c r="B5" s="78" t="s">
        <v>1106</v>
      </c>
      <c r="C5" s="78" t="s">
        <v>1113</v>
      </c>
      <c r="D5" s="78" t="s">
        <v>1114</v>
      </c>
      <c r="E5" s="78" t="s">
        <v>1115</v>
      </c>
    </row>
    <row r="6" customFormat="false" ht="22.35" hidden="false" customHeight="false" outlineLevel="0" collapsed="false">
      <c r="A6" s="77" t="s">
        <v>7</v>
      </c>
      <c r="B6" s="78" t="s">
        <v>1106</v>
      </c>
      <c r="C6" s="78" t="s">
        <v>1116</v>
      </c>
      <c r="D6" s="78" t="s">
        <v>1117</v>
      </c>
      <c r="E6" s="78" t="s">
        <v>1118</v>
      </c>
    </row>
    <row r="7" customFormat="false" ht="22.35" hidden="false" customHeight="false" outlineLevel="0" collapsed="false">
      <c r="A7" s="32"/>
      <c r="B7" s="32" t="s">
        <v>1106</v>
      </c>
      <c r="C7" s="32" t="s">
        <v>1119</v>
      </c>
      <c r="D7" s="32" t="s">
        <v>1120</v>
      </c>
      <c r="E7" s="32"/>
    </row>
    <row r="8" customFormat="false" ht="15" hidden="false" customHeight="false" outlineLevel="0" collapsed="false">
      <c r="A8" s="32"/>
      <c r="B8" s="32" t="s">
        <v>1106</v>
      </c>
      <c r="C8" s="32" t="s">
        <v>1121</v>
      </c>
      <c r="D8" s="32" t="s">
        <v>1122</v>
      </c>
      <c r="E8" s="32"/>
    </row>
    <row r="9" customFormat="false" ht="22.35" hidden="false" customHeight="false" outlineLevel="0" collapsed="false">
      <c r="A9" s="32"/>
      <c r="B9" s="32" t="s">
        <v>1106</v>
      </c>
      <c r="C9" s="32" t="s">
        <v>1123</v>
      </c>
      <c r="D9" s="32" t="s">
        <v>1124</v>
      </c>
      <c r="E9" s="32"/>
    </row>
    <row r="10" customFormat="false" ht="15" hidden="false" customHeight="false" outlineLevel="0" collapsed="false">
      <c r="A10" s="32"/>
      <c r="B10" s="32" t="s">
        <v>1125</v>
      </c>
      <c r="C10" s="32" t="s">
        <v>1126</v>
      </c>
      <c r="D10" s="32" t="s">
        <v>1127</v>
      </c>
      <c r="E10" s="32"/>
    </row>
    <row r="11" customFormat="false" ht="15" hidden="false" customHeight="false" outlineLevel="0" collapsed="false">
      <c r="A11" s="32"/>
      <c r="B11" s="32" t="s">
        <v>1125</v>
      </c>
      <c r="C11" s="32" t="s">
        <v>1128</v>
      </c>
      <c r="D11" s="32" t="s">
        <v>1129</v>
      </c>
      <c r="E11" s="32"/>
    </row>
    <row r="12" customFormat="false" ht="15" hidden="false" customHeight="false" outlineLevel="0" collapsed="false">
      <c r="A12" s="32"/>
      <c r="B12" s="32" t="s">
        <v>1125</v>
      </c>
      <c r="C12" s="32" t="s">
        <v>1130</v>
      </c>
      <c r="D12" s="32" t="s">
        <v>1131</v>
      </c>
      <c r="E12" s="32"/>
    </row>
    <row r="13" customFormat="false" ht="22.35" hidden="false" customHeight="false" outlineLevel="0" collapsed="false">
      <c r="A13" s="77" t="s">
        <v>7</v>
      </c>
      <c r="B13" s="78" t="s">
        <v>1125</v>
      </c>
      <c r="C13" s="78" t="s">
        <v>1132</v>
      </c>
      <c r="D13" s="78" t="s">
        <v>1133</v>
      </c>
      <c r="E13" s="78" t="s">
        <v>1134</v>
      </c>
    </row>
    <row r="14" customFormat="false" ht="22.35" hidden="false" customHeight="false" outlineLevel="0" collapsed="false">
      <c r="A14" s="68" t="s">
        <v>9</v>
      </c>
      <c r="B14" s="28" t="s">
        <v>1125</v>
      </c>
      <c r="C14" s="28" t="s">
        <v>1135</v>
      </c>
      <c r="D14" s="28" t="s">
        <v>1136</v>
      </c>
      <c r="E14" s="28" t="s">
        <v>1137</v>
      </c>
    </row>
    <row r="15" customFormat="false" ht="15" hidden="false" customHeight="false" outlineLevel="0" collapsed="false">
      <c r="A15" s="75" t="s">
        <v>11</v>
      </c>
      <c r="B15" s="75" t="s">
        <v>1125</v>
      </c>
      <c r="C15" s="75" t="s">
        <v>1138</v>
      </c>
      <c r="D15" s="75" t="s">
        <v>1139</v>
      </c>
      <c r="E15" s="75" t="s">
        <v>1140</v>
      </c>
    </row>
    <row r="16" customFormat="false" ht="22.35" hidden="false" customHeight="false" outlineLevel="0" collapsed="false">
      <c r="A16" s="68" t="s">
        <v>9</v>
      </c>
      <c r="B16" s="28" t="s">
        <v>1125</v>
      </c>
      <c r="C16" s="28" t="s">
        <v>1141</v>
      </c>
      <c r="D16" s="28" t="s">
        <v>1142</v>
      </c>
      <c r="E16" s="28"/>
    </row>
  </sheetData>
  <autoFilter ref="A2:E16"/>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0"/>
  </cols>
  <sheetData>
    <row r="1" customFormat="false" ht="30" hidden="false" customHeight="true" outlineLevel="0" collapsed="false">
      <c r="A1" s="63" t="s">
        <v>1143</v>
      </c>
      <c r="B1" s="63"/>
      <c r="C1" s="63"/>
    </row>
    <row r="2" customFormat="false" ht="15" hidden="false" customHeight="false" outlineLevel="0" collapsed="false">
      <c r="A2" s="19" t="s">
        <v>277</v>
      </c>
      <c r="B2" s="19" t="s">
        <v>148</v>
      </c>
      <c r="C2" s="19" t="s">
        <v>1144</v>
      </c>
    </row>
    <row r="3" customFormat="false" ht="22.35" hidden="false" customHeight="false" outlineLevel="0" collapsed="false">
      <c r="A3" s="66" t="s">
        <v>3</v>
      </c>
      <c r="B3" s="20" t="s">
        <v>1145</v>
      </c>
      <c r="C3" s="20" t="s">
        <v>1146</v>
      </c>
    </row>
    <row r="4" customFormat="false" ht="22.35" hidden="false" customHeight="false" outlineLevel="0" collapsed="false">
      <c r="A4" s="66" t="s">
        <v>3</v>
      </c>
      <c r="B4" s="20" t="s">
        <v>1145</v>
      </c>
      <c r="C4" s="20" t="s">
        <v>1147</v>
      </c>
    </row>
    <row r="5" customFormat="false" ht="22.35" hidden="false" customHeight="false" outlineLevel="0" collapsed="false">
      <c r="A5" s="66" t="s">
        <v>3</v>
      </c>
      <c r="B5" s="20" t="s">
        <v>1145</v>
      </c>
      <c r="C5" s="20" t="s">
        <v>1148</v>
      </c>
    </row>
    <row r="6" customFormat="false" ht="15" hidden="false" customHeight="false" outlineLevel="0" collapsed="false">
      <c r="A6" s="66" t="s">
        <v>3</v>
      </c>
      <c r="B6" s="20" t="s">
        <v>1145</v>
      </c>
      <c r="C6" s="20" t="s">
        <v>1149</v>
      </c>
    </row>
    <row r="7" customFormat="false" ht="22.35" hidden="false" customHeight="false" outlineLevel="0" collapsed="false">
      <c r="A7" s="66" t="s">
        <v>3</v>
      </c>
      <c r="B7" s="20" t="s">
        <v>1150</v>
      </c>
      <c r="C7" s="20" t="s">
        <v>1151</v>
      </c>
    </row>
    <row r="8" customFormat="false" ht="22.35" hidden="false" customHeight="false" outlineLevel="0" collapsed="false">
      <c r="A8" s="67" t="s">
        <v>5</v>
      </c>
      <c r="B8" s="24" t="s">
        <v>1145</v>
      </c>
      <c r="C8" s="24" t="s">
        <v>1152</v>
      </c>
    </row>
    <row r="9" customFormat="false" ht="15" hidden="false" customHeight="false" outlineLevel="0" collapsed="false">
      <c r="A9" s="67" t="s">
        <v>5</v>
      </c>
      <c r="B9" s="24" t="s">
        <v>1153</v>
      </c>
      <c r="C9" s="24" t="s">
        <v>1154</v>
      </c>
    </row>
    <row r="10" customFormat="false" ht="15" hidden="false" customHeight="false" outlineLevel="0" collapsed="false">
      <c r="A10" s="67" t="s">
        <v>5</v>
      </c>
      <c r="B10" s="24" t="s">
        <v>1153</v>
      </c>
      <c r="C10" s="24" t="s">
        <v>1155</v>
      </c>
    </row>
    <row r="11" customFormat="false" ht="15" hidden="false" customHeight="false" outlineLevel="0" collapsed="false">
      <c r="A11" s="67" t="s">
        <v>5</v>
      </c>
      <c r="B11" s="24" t="s">
        <v>1153</v>
      </c>
      <c r="C11" s="24" t="s">
        <v>1156</v>
      </c>
    </row>
    <row r="12" customFormat="false" ht="22.35" hidden="false" customHeight="false" outlineLevel="0" collapsed="false">
      <c r="A12" s="67" t="s">
        <v>5</v>
      </c>
      <c r="B12" s="24" t="s">
        <v>1157</v>
      </c>
      <c r="C12" s="24" t="s">
        <v>1158</v>
      </c>
    </row>
    <row r="13" customFormat="false" ht="22.35" hidden="false" customHeight="false" outlineLevel="0" collapsed="false">
      <c r="A13" s="67" t="s">
        <v>5</v>
      </c>
      <c r="B13" s="24" t="s">
        <v>1159</v>
      </c>
      <c r="C13" s="24" t="s">
        <v>1160</v>
      </c>
    </row>
    <row r="14" customFormat="false" ht="15" hidden="false" customHeight="false" outlineLevel="0" collapsed="false">
      <c r="A14" s="75" t="s">
        <v>11</v>
      </c>
      <c r="B14" s="75" t="s">
        <v>1153</v>
      </c>
      <c r="C14" s="75" t="s">
        <v>1161</v>
      </c>
    </row>
    <row r="15" customFormat="false" ht="22.35" hidden="false" customHeight="false" outlineLevel="0" collapsed="false">
      <c r="A15" s="75" t="s">
        <v>11</v>
      </c>
      <c r="B15" s="75" t="s">
        <v>1157</v>
      </c>
      <c r="C15" s="75" t="s">
        <v>1162</v>
      </c>
    </row>
    <row r="16" customFormat="false" ht="15" hidden="false" customHeight="false" outlineLevel="0" collapsed="false">
      <c r="A16" s="32"/>
      <c r="B16" s="32" t="s">
        <v>1157</v>
      </c>
      <c r="C16" s="32" t="s">
        <v>1163</v>
      </c>
    </row>
    <row r="17" customFormat="false" ht="22.35" hidden="false" customHeight="false" outlineLevel="0" collapsed="false">
      <c r="A17" s="32"/>
      <c r="B17" s="32" t="s">
        <v>1164</v>
      </c>
      <c r="C17" s="32" t="s">
        <v>1165</v>
      </c>
    </row>
  </sheetData>
  <autoFilter ref="A2:C17"/>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2026-09-24T05:25:07Z</dcterms:created>
  <dc:creator>openpyxl</dc:creator>
  <dc:description/>
  <dc:language>en-US</dc:language>
  <cp:lastModifiedBy/>
  <dcterms:modified xsi:type="dcterms:W3CDTF">2026-09-24T05:25:07Z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