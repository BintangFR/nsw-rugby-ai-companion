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australianrugby-my.sharepoint.com/personal/onedrive-nswru_nsw_rugby/Documents/NSWSRU/WORD/NSW RUGBY UNION/Community &amp; Particpation/RWC/"/>
    </mc:Choice>
  </mc:AlternateContent>
  <xr:revisionPtr revIDLastSave="3" documentId="8_{9B914063-E8C1-4CFF-B10E-8A531D944B40}" xr6:coauthVersionLast="47" xr6:coauthVersionMax="47" xr10:uidLastSave="{6D716334-6243-4B85-A848-9DFDC616BD5B}"/>
  <bookViews>
    <workbookView xWindow="-120" yWindow="-120" windowWidth="51840" windowHeight="21120" xr2:uid="{2E562A75-C85B-4F90-8DF7-2F2ABEE68F50}"/>
  </bookViews>
  <sheets>
    <sheet name="Dashboard" sheetId="1" r:id="rId1"/>
    <sheet name="Club Dev Conference" sheetId="4" r:id="rId2"/>
    <sheet name="Volunteers" sheetId="3" r:id="rId3"/>
    <sheet name="M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3" l="1"/>
</calcChain>
</file>

<file path=xl/sharedStrings.xml><?xml version="1.0" encoding="utf-8"?>
<sst xmlns="http://schemas.openxmlformats.org/spreadsheetml/2006/main" count="194" uniqueCount="179">
  <si>
    <t>RWC LEGACY DASHBOARD</t>
  </si>
  <si>
    <t>Initiative</t>
  </si>
  <si>
    <t>Key Activities</t>
  </si>
  <si>
    <t>3 year Budget</t>
  </si>
  <si>
    <t>Budget Items</t>
  </si>
  <si>
    <t>NSWRU Initiatives</t>
  </si>
  <si>
    <t>Code</t>
  </si>
  <si>
    <t>Due / Status</t>
  </si>
  <si>
    <t>Performance Measures</t>
  </si>
  <si>
    <t>Western Sydney GM</t>
  </si>
  <si>
    <t>* Appoint Head of Western Sydney 
* Manage Strategic and operational diretion for  Western Sydney
* Manage WS Academy
* Work with Club Developemnt  Manager to lead club strategic direction
* Launch Western Sydney Rugby Alliance</t>
  </si>
  <si>
    <t>$65K
$65K
$65K</t>
  </si>
  <si>
    <t>WS GM Salary</t>
  </si>
  <si>
    <t>Appoint Head of WS</t>
  </si>
  <si>
    <t>RWC Wages</t>
  </si>
  <si>
    <t>In place</t>
  </si>
  <si>
    <t>Western Sydney Rugby alliance that meets 3 x annually
New schools’ competition incl. Western Sydney Waratah Shield Division, U16 competition, and primary school competition for boys and girls and foster links between schools and local clubs
Launch Western Sydney academy – 30 males and 30 females in the program per season
Increase Western Sydney funding through Rugby for Good hub – source $125k annually</t>
  </si>
  <si>
    <t>Western Sydney Club Development Mgr</t>
  </si>
  <si>
    <t>* Appoint Western Sydney Club Development Manager
* Increased Club Development support to improve existing clubs and develop new clubs where required.
* Support clubs to reach governance standards.
* Support clubs with their attainment of 40:40:20 Governance model
* Deliver yearly Club Health Check for each W. Syd club
* Deliver yearly Club Development workshops
* Deliver Action Plans for each club
* Deliver appropriate training, education and assistance</t>
  </si>
  <si>
    <t>$55K
$65K
$65K</t>
  </si>
  <si>
    <t xml:space="preserve"> WS CDM Salary
</t>
  </si>
  <si>
    <t>Appoint WS CDM</t>
  </si>
  <si>
    <t>Ensure all clubs in Western Sydney reach Developing standards in the RA Club Standards program and are all legally compliant organisations
Club Development Manager to meet all clubs in Western Sydney twice annually
Each Western Sydney club to complete the RA Club Health Check annually
Each club to receive a tailored Club Action Plan
Drive increase in gender balanced club boards (40:40:20) - 40% of clubs currently meet this ratio 
Reduce participant churn by 1% per year - baseline 48.9% in Western Sydney</t>
  </si>
  <si>
    <t>Western Sydney DO</t>
  </si>
  <si>
    <t>* Appoint Western Sydney Development Officer
* Deliver Western Sydney Schools programs
* Connect Western Sydney schools with local clubs
* Attend club training sessions
* Deliver coaching course in Western Sydney
* Support junior clubs with recruitment and retention of players, coaches and match officials
* Convert exposure/sampling opportunities in gala days and programs into regular club rugby participants</t>
  </si>
  <si>
    <t>$45K
$45K
$45K</t>
  </si>
  <si>
    <t>WS DO Salary</t>
  </si>
  <si>
    <t>Appoint WS DO</t>
  </si>
  <si>
    <t>Currently being recuited.  Co-funding from Eastwood</t>
  </si>
  <si>
    <t>Increase overall participation by 7.5% per annum – schools, clubs, gala days, tournaments
Deliver 3 x coaching courses per annum
Attend club training sessions 2 x per annum
Reduce participant churn by 1% per year - baseline 48.9%</t>
  </si>
  <si>
    <t>Z</t>
  </si>
  <si>
    <t>Western Syd Comps</t>
  </si>
  <si>
    <t>* Seed-fund new, and grow existing competitions in Western Sydney across clubs and schools in both contact and non-contact formats
* Develop new Schools competition including Western Sydney Waratah Shield Division, U16 and Primary school competition for boys and girls</t>
  </si>
  <si>
    <t>$85K
$75K
$65K</t>
  </si>
  <si>
    <t>Casual Dev Staff
Uniforms
Team travel
Medic
Referees</t>
  </si>
  <si>
    <t>New Western Sydney High School Competition (feed into Junior Clubs)</t>
  </si>
  <si>
    <t>RWC WS Comps</t>
  </si>
  <si>
    <t>6 x Schools locked in
DOs in schools</t>
  </si>
  <si>
    <t>As above</t>
  </si>
  <si>
    <t>Western Syd Rugby Development Centre</t>
  </si>
  <si>
    <t>* Develop a Western Sydney academy to assist pathway development
* Identify talent in Western Sydney to join Academy</t>
  </si>
  <si>
    <t>$75K
$75K
$75K</t>
  </si>
  <si>
    <t>Uniforms
Field hire
Hire - coach, S&amp;C, Physio</t>
  </si>
  <si>
    <t xml:space="preserve">Regional Academy commenced 16 weeks Nov-March </t>
  </si>
  <si>
    <t>RWC WS RDC</t>
  </si>
  <si>
    <t>Regional Academy implmetned in Western Sydney</t>
  </si>
  <si>
    <t>Match Official Manager</t>
  </si>
  <si>
    <t>* Appoint NSW Match Official Manager
* Lead NSW MO strategy and operational planning
* Deliver Match Official workshops and mentoring programs
* Implement MO development program
* Deliver on recruitment campaigns focused on female referees
* Promote improved sideline behaviour through ongoing education and sanction process
* Targeted recruitment focusing on recently retired players
* Club/Hub based programs to bring MO’s to younger age groups
* Increased access to equipment and filming resources for MO’s</t>
  </si>
  <si>
    <t>$55K
$55K
$55K</t>
  </si>
  <si>
    <t xml:space="preserve">* MO Manager Salary
</t>
  </si>
  <si>
    <t>Appoint MO Manager</t>
  </si>
  <si>
    <t>Each game in NSW to have an appointed and accredited Match Official
Match Officials to Player ratio of 30:1 – baseline 56:1
Improve sideline and player behaviour with 25% reduction in Match Official abuse cases – baseline 73 cases
Grow accredited Match Officials by 75% - baseline of 1,281 match officials
Increase number of referees from underrepresented groups; female, Pasifika and First Nations Match Officials – baseline 106 females, 80 Pasifika and 13 First Nations Match Officials
200% growth in female match officials – baseline of 106 accredited female Match Officials</t>
  </si>
  <si>
    <t>Hunter/Newcastle RFG Manager</t>
  </si>
  <si>
    <t>* Appoint Hunter Rugby for Good General Manager
* Lead the Rugby for Good program in the Hunter
* Secure additional funding to deliver Rugby for Good activity in the -Hunter region including Rucky Tackle Life, Rugby for Good Mental Health Programs, Our Turn, Your Time Women’s program</t>
  </si>
  <si>
    <t>$50K
$60K
$60K</t>
  </si>
  <si>
    <t>Hunter/Newcastle RFG Manager Salary</t>
  </si>
  <si>
    <t>Appoint Hunter/Newcastle RFG Manager</t>
  </si>
  <si>
    <t xml:space="preserve">In place </t>
  </si>
  <si>
    <t>Increase participation by 7.5% annually across all metrics – clubs, schools, coaches, match officials and administrators – baseline 3,290
Source additional revenue opportunities via Rugby for Good programs – source &gt;$100k annually
Ensure all clubs in the Hunter reach Bronze/Developing standards in the RA Club Standards program and are all legally compliant organisations
Each Hunter club to complete the RA Club Health Check annually
Each club to receive a tailored Club Action Plan</t>
  </si>
  <si>
    <t>Hunter R4G Activities</t>
  </si>
  <si>
    <t>* Club Development activity in the Hunter
* Competition and program support in the Hunter
* Deliver programs and provide opportunities that enhance, support and build rugby communities
* Complete Club Health audit for Hunter Rugby clubs
* Deliver Action Plans for each club</t>
  </si>
  <si>
    <t>$10K
$20K
$55K</t>
  </si>
  <si>
    <t>First Nations Manager</t>
  </si>
  <si>
    <t>* Appoint First Nations Development Officer
* Deliver First Nations activity in NSW (see below)</t>
  </si>
  <si>
    <t>$45K
$55K
$55K</t>
  </si>
  <si>
    <t>First Nations Manager Salary</t>
  </si>
  <si>
    <t>Appoint First Nations Manager</t>
  </si>
  <si>
    <t>Deliver NSWRU Reconciliation Action Plan
Deliver 6 x Talent ID workshops annually (North Coast, Central West, Sydney Metro, South Coast, 2 x Southern Inland)
Deliver NSW First Nations Development Academy</t>
  </si>
  <si>
    <t>First Nations Activities</t>
  </si>
  <si>
    <t>* Host regional and metro talent ID days in NSW to transition talent into high performance pathways. 
* First Nations Development Academy-Work with Lloyd McDermott Rugby to develop a First Nations Leadership program aligned with U16 boys’ and girls’ programs
* First Nations mentoring programs
* Bursary places for First Nations coaches
* Deliver NSWRU RAP</t>
  </si>
  <si>
    <t>$80K
$80K
$80K</t>
  </si>
  <si>
    <t>Ella 7s</t>
  </si>
  <si>
    <t>Pasifika &amp; First Nations Leadership Activity</t>
  </si>
  <si>
    <t>* Leadership and support programs for Pasifika and First Nations people
* Work with Lloyd McDermott Rugby to develop a First Nations Leadership program aligned with U16 boys’ and girls’ programs
* First Nations mentoring programs
* Bursary places for First Nations and Pasifika coaches</t>
  </si>
  <si>
    <t>$25k
$25k
$25k</t>
  </si>
  <si>
    <t>Launch yearly Pasifika Leadership program with 20+ attendees each year
Grow attendance at Pasifika Youth Cup by 50%</t>
  </si>
  <si>
    <t>Pacificia Programs</t>
  </si>
  <si>
    <t>* Enhance existing and develop new Pasifika events and tournaments for children and adults
* Deliver Pasifika Leadership program</t>
  </si>
  <si>
    <t xml:space="preserve">$55k
$45k
$35k
</t>
  </si>
  <si>
    <t>Integrity Manager</t>
  </si>
  <si>
    <t>* Appoint NSW Integrity &amp; Safeguarding manager</t>
  </si>
  <si>
    <t>$42K
$55K
$55K</t>
  </si>
  <si>
    <t>Appoint Integrity Manager</t>
  </si>
  <si>
    <t>JD compiled.  Funding from third parties being finalised to complment existing pot</t>
  </si>
  <si>
    <t>All Rugby clubs in NSW compliant against RA integrity and safeguarding standards
Deliver 6 x yearly safeguarding and integrity workshops</t>
  </si>
  <si>
    <t>Integrity Activities</t>
  </si>
  <si>
    <t>* Audit of Rugby clubs safeguarding, integrity and data management practices (RA Club Health Check)
* Identify priority clubs and areas of support following audit
* Provide additional and focused training for staff, volunteers and administrators on dealing with integrity and safeguarding matters
* Focus on compliance with National, State and local laws, regulations and policies
* Improve supporting technology to track WWCC, training completions and incident reporting via Rugby Xplorer
* Supporting materials for clubs to promote best practice e.g. posters, online materials, social media posts, etc.</t>
  </si>
  <si>
    <t>$20k
$20k
$20k</t>
  </si>
  <si>
    <t>Female Participation DO</t>
  </si>
  <si>
    <t>* Appoint Female Participation Officer in NSW
* See below in Female Programs and Support</t>
  </si>
  <si>
    <t>$40K
$50K
$50K</t>
  </si>
  <si>
    <t>Appoint Female Participation DO</t>
  </si>
  <si>
    <t xml:space="preserve">Casul in place </t>
  </si>
  <si>
    <t xml:space="preserve">New Female Programs and Competitions across NSW (see competition seed-funding) 
50% growth in female participation – baseline of 7,917 club players, 3,642 event players, 16,803 school participants
</t>
  </si>
  <si>
    <t xml:space="preserve">Female Programs and Support </t>
  </si>
  <si>
    <t>* Introductory participation programs
* New competitions
* Talent/ pathway programs
* Coach development and Match Officials programs
* Club development and support, increasing the number of women in administration and leadership positions withing NSW rugby.</t>
  </si>
  <si>
    <t>$40K
$40K
$40K</t>
  </si>
  <si>
    <t>* MO FOC Course + Whistles / Cards $3500</t>
  </si>
  <si>
    <t>Female Marketing</t>
  </si>
  <si>
    <t>*Supporting materials for clubs to promote best practice e.g. posters, online materials, social media posts, etc.</t>
  </si>
  <si>
    <t>$10k
$10k
$10k</t>
  </si>
  <si>
    <t xml:space="preserve">Workforce Recuitment &amp; Development </t>
  </si>
  <si>
    <t xml:space="preserve">* Coach and match official education for underrepresented groups (see female, First Nations and Pasifika activity)
* Volunteer recruitment and club development programs
* Volunteer rewards and recognition programs and opportunities at the RWC 27
* Workforce recruitment for coaches, match officials and administrators
* Sustainable club activity – delivering education, training and assistance
</t>
  </si>
  <si>
    <t>$40k
$40K
$25K</t>
  </si>
  <si>
    <t>* MO Cards and Whistles for all new female refs FOC $5k
* MO recruitment social media campaign $1k
* MO tickets to Waratahs Games $2k
* “The Backbone of Rugby” – NSW Volunteer Rewards &amp; Recognition Program $7,500</t>
  </si>
  <si>
    <t>RWC WF Rercruitment</t>
  </si>
  <si>
    <t>Each game in NSW to have an appointed and accredited Match Official
Match Officials to Player ratio of 30:1 – baseline 56:1
Coach to Player ratio of 10:1 – baseline 13:1
Improve sideline and player behaviour with 25% reduction in Match Official abuse cases – baseline 73 cases
Grow accredited Match Officials by 75% - baseline of 1,281 match officials
Grow accredited coaches by 50% - baseline of 3,514 coaches
Deliver yearly workforce conference with Net Promotor Score from attendees &gt; 75
Increase number of referees from underrepresented groups; female, Pasifika and First Nations Match Officials – baseline 106 females, 80 Pasifika and 13 First Nations Match Officials
Reduce churn by 1% p.a. in workforce numbers – baseline 39.5%</t>
  </si>
  <si>
    <t>Workforce Leadership</t>
  </si>
  <si>
    <t>* Deliver yearly workforce leadership program for coaches, match officials and administrators
* Support growth and development of underrepresented groups in the workforce including Pasifika communities, First Nations and Females</t>
  </si>
  <si>
    <t>$60k
$60k
$60k</t>
  </si>
  <si>
    <t>NSW Match Developers Conference $10,500
Club Admin Conference (Oct)</t>
  </si>
  <si>
    <t>All Abilities</t>
  </si>
  <si>
    <t>* Enhance existing and develop new partnerships and programs to support people with a disability to engage in Rugby</t>
  </si>
  <si>
    <t>$15k
$15k
$15k</t>
  </si>
  <si>
    <t>Support existing programs - Vivability in Bathurst, Menai, Rockdale
Casul employment All Abilities Rugby Coord to run progams in speial needs schools to attract other grant funding</t>
  </si>
  <si>
    <t>Pride</t>
  </si>
  <si>
    <t xml:space="preserve">* Enhance existing and develop new partnerships and programs to support and celebrate the Pride community in Rugby </t>
  </si>
  <si>
    <t>$5k
$5k
$5k</t>
  </si>
  <si>
    <t>Contact Andrew Purchas to determine approapriate way forward</t>
  </si>
  <si>
    <t>RWC Post-Event Hubs Delivery &amp; Management</t>
  </si>
  <si>
    <t>* RWC Event Hubs to provide Rugby opportunities during and immediately post the RWC to capture interest in the sport while it is at its peak.
This includes:
* Get into Rugby (4–7-year-olds)
* Tri Tag Rugby – non-contact version of the game suitable for 7 – 97 years of age
* Match Officials programs
* Coaching programs</t>
  </si>
  <si>
    <t>$0k
$30k
$370k</t>
  </si>
  <si>
    <t xml:space="preserve">Social Over 35s RWC
Come and Try Days
International Tournament </t>
  </si>
  <si>
    <t>Deliver 20 x RWC Event Hubs during &amp; post RWC with a minimum of 50 participants. Each hub to contain:
- Get into Rugby
- Tri Tag Rugby
- Coach education
- Match Official education
RWC Event Hubs to be spread across metro &amp; regional NSW to ensure everyone has an opportunity to be involved in the Rugby World Cup.</t>
  </si>
  <si>
    <t>RWC Post-Event Hub Giveaways</t>
  </si>
  <si>
    <t>* RWC event activation will also include giveaways to prospective participants at matches and in fan-zones to drive a call to action to participate in the sport.</t>
  </si>
  <si>
    <t>Monitoring &amp; Evaluation</t>
  </si>
  <si>
    <t>* Implement robust monitoring and evaluation process including key social impact measurables, impact reporting and key outcomes.</t>
  </si>
  <si>
    <t>$75k
$30k
$75k</t>
  </si>
  <si>
    <t>Project Management</t>
  </si>
  <si>
    <t>* Overall day-to-day project management and oversight and delivery of the legacy program including, but not limited to:
-Lead monitoring &amp; evaluation
-Grant submission, variation, reporting, communication
-Financial management and oversight
-Central point of contact</t>
  </si>
  <si>
    <t>$40k
$40k
$40k</t>
  </si>
  <si>
    <t>Jason Russell-Jones (RA) appointed to manage</t>
  </si>
  <si>
    <t>RA Funded to assist with project mgt and aqutial</t>
  </si>
  <si>
    <t>“The Backbone of Rugby” – NSW Volunteer Rewards &amp; Recognition Program</t>
  </si>
  <si>
    <t>Budget Estimates:</t>
  </si>
  <si>
    <t>Investment Area</t>
  </si>
  <si>
    <t>Cost</t>
  </si>
  <si>
    <t>Purpose</t>
  </si>
  <si>
    <t>Content Production</t>
  </si>
  <si>
    <t>Short-form videos, filming days, editing for social-first storytelling</t>
  </si>
  <si>
    <t>Design &amp; Digital Assets</t>
  </si>
  <si>
    <t>Program branding, winner tiles, certificates, club share packs</t>
  </si>
  <si>
    <t>Rewards &amp; Recognition</t>
  </si>
  <si>
    <t>Monthly recognition packs + end-of-program Honour Roll</t>
  </si>
  <si>
    <t>Program Management</t>
  </si>
  <si>
    <t>Nominations, selection, coordination, club communications</t>
  </si>
  <si>
    <t>Paid Reach &amp; Contingency</t>
  </si>
  <si>
    <t>Strategic social boosts and delivery buffer</t>
  </si>
  <si>
    <t>NSW Rugby RWC Legacy Program - Referee Department</t>
  </si>
  <si>
    <t>Funding Pool</t>
  </si>
  <si>
    <t>Activity</t>
  </si>
  <si>
    <t>Outcomes</t>
  </si>
  <si>
    <t>Budget</t>
  </si>
  <si>
    <t>How</t>
  </si>
  <si>
    <t>Referee Spend</t>
  </si>
  <si>
    <t>Program Budget</t>
  </si>
  <si>
    <t>Female Program Support</t>
  </si>
  <si>
    <t>Female Match Officials</t>
  </si>
  <si>
    <t>100 x New Female MO's</t>
  </si>
  <si>
    <t>100 x 420.00 per paticipant = $2000                     100 x cards and whistles  100 x $15.00 =$1500</t>
  </si>
  <si>
    <t>Targeting girls schools, particulary those in the Chloe Dalton Cup.                                                                             Specific Subbies and Shute Shield Club courses.     Approaching recently retired players.</t>
  </si>
  <si>
    <t>NSW Match Official Conference</t>
  </si>
  <si>
    <t>Formailise and establish a clear and transparent exchange program between MO's and MODs within NSW. Develop our MOD workforce statewide.</t>
  </si>
  <si>
    <t>1 x night accomodation x 20 people = $3,600 Return Airfares for 12 x people = $6000   Catering for 60 x people = $900</t>
  </si>
  <si>
    <t>Liaise will all affilates to ensure attenedance.                     Lock in guest presenters (no cost).                                            Promote and report outcomes.</t>
  </si>
  <si>
    <t>Workforce Recruitment</t>
  </si>
  <si>
    <t>Cards and Whistles</t>
  </si>
  <si>
    <t>Provide all new Referees with apporiate equipment to begin Refereeing</t>
  </si>
  <si>
    <t>250 x Cards = $962.50                                                  250 x Whistles = $4125</t>
  </si>
  <si>
    <t>Distribution of cards and whistles for all new Referees who attend a Referee Ready course.</t>
  </si>
  <si>
    <t>Recruitment Video and Social Media Campaign</t>
  </si>
  <si>
    <t>Increasing Accredited and Registered Referees by 10%</t>
  </si>
  <si>
    <t>Social Media Boosting</t>
  </si>
  <si>
    <t>Create a video and flyers for continued distribution throughout the year.</t>
  </si>
  <si>
    <t>Tickets to the Waratahs first home game.</t>
  </si>
  <si>
    <t>Reward and recognise the contribution of Referees to our game.</t>
  </si>
  <si>
    <t>100 Tickets at $20.00 = $2,000</t>
  </si>
  <si>
    <t>Tickets provided for Welocme to 2026 function at Rugby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</si>
</sst>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Red]\-&quot;$&quot;#,##0"/>
    <numFmt numFmtId="165" formatCode="&quot;$&quot;#,##0.00;[Red]\-&quot;$&quot;#,##0.00"/>
  </numFmts>
  <fonts count="6">
    <font>
      <sz val="11"/>
      <color theme="1"/>
      <name val="Aptos Narrow"/>
      <family val="2"/>
      <scheme val="minor"/>
    </font>
    <font>
      <b/>
      <sz val="11"/>
      <color theme="1"/>
      <name val="Aptos Narrow"/>
      <family val="2"/>
      <scheme val="minor"/>
    </font>
    <font>
      <b/>
      <sz val="12"/>
      <color theme="1"/>
      <name val="Aptos"/>
      <family val="2"/>
    </font>
    <font>
      <b/>
      <sz val="10"/>
      <color theme="1"/>
      <name val="Aptos"/>
      <family val="2"/>
    </font>
    <font>
      <sz val="10"/>
      <color theme="1"/>
      <name val="Aptos"/>
      <family val="2"/>
    </font>
    <font>
      <b/>
      <sz val="20"/>
      <color theme="1"/>
      <name val="Aptos Narrow"/>
      <family val="2"/>
      <scheme val="minor"/>
    </font>
  </fonts>
  <fills count="12">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CCFFCC"/>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FFFF00"/>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46">
    <xf numFmtId="0" fontId="0" fillId="0" borderId="0" xfId="0"/>
    <xf numFmtId="0" fontId="0" fillId="0" borderId="0" xfId="0" applyAlignment="1">
      <alignment vertical="top" wrapText="1"/>
    </xf>
    <xf numFmtId="0" fontId="0" fillId="0" borderId="0" xfId="0" applyAlignment="1">
      <alignment vertical="top"/>
    </xf>
    <xf numFmtId="0" fontId="1" fillId="0" borderId="0" xfId="0" applyFont="1"/>
    <xf numFmtId="0" fontId="1" fillId="0" borderId="0" xfId="0" applyFont="1" applyAlignment="1">
      <alignment vertical="center"/>
    </xf>
    <xf numFmtId="0" fontId="0" fillId="0" borderId="0" xfId="0" applyAlignment="1">
      <alignment vertical="center"/>
    </xf>
    <xf numFmtId="0" fontId="1" fillId="0" borderId="0" xfId="0" applyFont="1" applyAlignment="1">
      <alignment horizontal="center"/>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wrapText="1"/>
    </xf>
    <xf numFmtId="165" fontId="0" fillId="0" borderId="0" xfId="0" applyNumberFormat="1" applyAlignment="1">
      <alignment horizontal="right" wrapText="1"/>
    </xf>
    <xf numFmtId="164" fontId="0" fillId="0" borderId="0" xfId="0" applyNumberFormat="1"/>
    <xf numFmtId="0" fontId="0" fillId="0" borderId="0" xfId="0" applyAlignment="1">
      <alignment wrapText="1"/>
    </xf>
    <xf numFmtId="165" fontId="0" fillId="0" borderId="0" xfId="0" applyNumberFormat="1"/>
    <xf numFmtId="165" fontId="1" fillId="0" borderId="0" xfId="0" applyNumberFormat="1" applyFont="1"/>
    <xf numFmtId="0" fontId="2" fillId="0" borderId="0" xfId="0" applyFont="1" applyAlignment="1">
      <alignment vertical="center"/>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164" fontId="3" fillId="0" borderId="4" xfId="0" applyNumberFormat="1" applyFont="1" applyBorder="1" applyAlignment="1">
      <alignment vertical="center" wrapText="1"/>
    </xf>
    <xf numFmtId="0" fontId="4" fillId="0" borderId="4" xfId="0" applyFont="1" applyBorder="1" applyAlignment="1">
      <alignment vertical="center" wrapText="1"/>
    </xf>
    <xf numFmtId="164" fontId="1" fillId="0" borderId="0" xfId="0" applyNumberFormat="1" applyFont="1"/>
    <xf numFmtId="0" fontId="0" fillId="0" borderId="0" xfId="0" applyAlignment="1">
      <alignment vertical="center" wrapText="1"/>
    </xf>
    <xf numFmtId="0" fontId="0" fillId="2" borderId="5" xfId="0" applyFill="1" applyBorder="1" applyAlignment="1">
      <alignment horizontal="left" vertical="center" wrapText="1"/>
    </xf>
    <xf numFmtId="0" fontId="0" fillId="2" borderId="5" xfId="0" applyFill="1" applyBorder="1" applyAlignment="1">
      <alignment vertical="center" wrapText="1"/>
    </xf>
    <xf numFmtId="0" fontId="0" fillId="2" borderId="5" xfId="0" applyFill="1" applyBorder="1" applyAlignment="1">
      <alignment vertical="center"/>
    </xf>
    <xf numFmtId="0" fontId="0" fillId="3" borderId="5" xfId="0" applyFill="1" applyBorder="1" applyAlignment="1">
      <alignment horizontal="left" vertical="center" wrapText="1"/>
    </xf>
    <xf numFmtId="0" fontId="0" fillId="3" borderId="5" xfId="0" applyFill="1" applyBorder="1" applyAlignment="1">
      <alignment vertical="center" wrapText="1"/>
    </xf>
    <xf numFmtId="0" fontId="0" fillId="3" borderId="5" xfId="0" applyFill="1" applyBorder="1" applyAlignment="1">
      <alignment vertical="center"/>
    </xf>
    <xf numFmtId="0" fontId="0" fillId="4" borderId="5" xfId="0" applyFill="1" applyBorder="1" applyAlignment="1">
      <alignment horizontal="left" vertical="center" wrapText="1"/>
    </xf>
    <xf numFmtId="0" fontId="0" fillId="5" borderId="5" xfId="0" applyFill="1" applyBorder="1" applyAlignment="1">
      <alignment horizontal="left" vertical="center" wrapText="1"/>
    </xf>
    <xf numFmtId="0" fontId="0" fillId="6" borderId="5" xfId="0" applyFill="1" applyBorder="1" applyAlignment="1">
      <alignment horizontal="left" vertical="center" wrapText="1"/>
    </xf>
    <xf numFmtId="0" fontId="0" fillId="7" borderId="5" xfId="0" applyFill="1" applyBorder="1" applyAlignment="1">
      <alignment horizontal="left" vertical="center" wrapText="1"/>
    </xf>
    <xf numFmtId="0" fontId="0" fillId="5" borderId="5" xfId="0" applyFill="1" applyBorder="1" applyAlignment="1">
      <alignment vertical="center"/>
    </xf>
    <xf numFmtId="0" fontId="0" fillId="5" borderId="5" xfId="0" applyFill="1" applyBorder="1" applyAlignment="1">
      <alignment vertical="center" wrapText="1"/>
    </xf>
    <xf numFmtId="0" fontId="0" fillId="8" borderId="5" xfId="0" applyFill="1" applyBorder="1" applyAlignment="1">
      <alignment vertical="center"/>
    </xf>
    <xf numFmtId="0" fontId="0" fillId="8" borderId="5" xfId="0" applyFill="1" applyBorder="1" applyAlignment="1">
      <alignment vertical="center" wrapText="1"/>
    </xf>
    <xf numFmtId="0" fontId="0" fillId="6" borderId="5" xfId="0" applyFill="1" applyBorder="1" applyAlignment="1">
      <alignment vertical="center" wrapText="1"/>
    </xf>
    <xf numFmtId="0" fontId="0" fillId="6" borderId="5" xfId="0" applyFill="1" applyBorder="1" applyAlignment="1">
      <alignment vertical="center"/>
    </xf>
    <xf numFmtId="0" fontId="0" fillId="9" borderId="5" xfId="0" applyFill="1" applyBorder="1" applyAlignment="1">
      <alignment vertical="center"/>
    </xf>
    <xf numFmtId="0" fontId="0" fillId="9" borderId="5" xfId="0" applyFill="1" applyBorder="1" applyAlignment="1">
      <alignment vertical="center" wrapText="1"/>
    </xf>
    <xf numFmtId="0" fontId="1" fillId="11" borderId="5" xfId="0" applyFont="1" applyFill="1" applyBorder="1" applyAlignment="1">
      <alignment vertical="center"/>
    </xf>
    <xf numFmtId="0" fontId="1" fillId="11" borderId="5" xfId="0" applyFont="1" applyFill="1" applyBorder="1" applyAlignment="1">
      <alignment vertical="center" wrapText="1"/>
    </xf>
    <xf numFmtId="0" fontId="5" fillId="0" borderId="6" xfId="0" applyFont="1" applyBorder="1" applyAlignment="1">
      <alignment horizontal="center" vertical="center"/>
    </xf>
    <xf numFmtId="0" fontId="1" fillId="0" borderId="6" xfId="0" applyFont="1" applyBorder="1" applyAlignment="1">
      <alignment horizontal="center" vertical="center"/>
    </xf>
    <xf numFmtId="0" fontId="1" fillId="10"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182191</xdr:colOff>
      <xdr:row>26</xdr:row>
      <xdr:rowOff>143552</xdr:rowOff>
    </xdr:to>
    <xdr:pic>
      <xdr:nvPicPr>
        <xdr:cNvPr id="2" name="Picture 1">
          <a:extLst>
            <a:ext uri="{FF2B5EF4-FFF2-40B4-BE49-F238E27FC236}">
              <a16:creationId xmlns:a16="http://schemas.microsoft.com/office/drawing/2014/main" id="{C60190E1-4350-C663-4845-DDFB4D0C5F99}"/>
            </a:ext>
          </a:extLst>
        </xdr:cNvPr>
        <xdr:cNvPicPr>
          <a:picLocks noChangeAspect="1"/>
        </xdr:cNvPicPr>
      </xdr:nvPicPr>
      <xdr:blipFill>
        <a:blip xmlns:r="http://schemas.openxmlformats.org/officeDocument/2006/relationships" r:embed="rId1"/>
        <a:stretch>
          <a:fillRect/>
        </a:stretch>
      </xdr:blipFill>
      <xdr:spPr>
        <a:xfrm>
          <a:off x="0" y="0"/>
          <a:ext cx="8716591" cy="484890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B64CE-8AED-47D3-8A7A-927C76E919F2}">
  <sheetPr>
    <pageSetUpPr fitToPage="1"/>
  </sheetPr>
  <dimension ref="A1:R27"/>
  <sheetViews>
    <sheetView tabSelected="1" zoomScale="40" zoomScaleNormal="40" workbookViewId="0">
      <pane ySplit="2" topLeftCell="A21" activePane="bottomLeft" state="frozen"/>
      <selection pane="bottomLeft" activeCell="R5" sqref="R5"/>
    </sheetView>
  </sheetViews>
  <sheetFormatPr defaultColWidth="8.85546875" defaultRowHeight="15"/>
  <cols>
    <col min="1" max="1" width="35.140625" style="5" bestFit="1" customWidth="1"/>
    <col min="2" max="2" width="60.5703125" style="5" customWidth="1"/>
    <col min="3" max="3" width="12.5703125" style="5" bestFit="1" customWidth="1"/>
    <col min="4" max="4" width="37" style="5" bestFit="1" customWidth="1"/>
    <col min="5" max="5" width="33.5703125" style="22" bestFit="1" customWidth="1"/>
    <col min="6" max="6" width="20.140625" style="5" bestFit="1" customWidth="1"/>
    <col min="7" max="7" width="45.42578125" style="5" bestFit="1" customWidth="1"/>
    <col min="8" max="8" width="177.7109375" style="5" bestFit="1" customWidth="1"/>
    <col min="9" max="16384" width="8.85546875" style="5"/>
  </cols>
  <sheetData>
    <row r="1" spans="1:18" ht="26.25">
      <c r="A1" s="43" t="s">
        <v>0</v>
      </c>
      <c r="B1" s="44"/>
      <c r="C1" s="44"/>
      <c r="D1" s="44"/>
      <c r="E1" s="44"/>
      <c r="F1" s="44"/>
      <c r="G1" s="44"/>
      <c r="H1" s="44"/>
    </row>
    <row r="2" spans="1:18" s="4" customFormat="1">
      <c r="A2" s="41" t="s">
        <v>1</v>
      </c>
      <c r="B2" s="41" t="s">
        <v>2</v>
      </c>
      <c r="C2" s="41" t="s">
        <v>3</v>
      </c>
      <c r="D2" s="41" t="s">
        <v>4</v>
      </c>
      <c r="E2" s="42" t="s">
        <v>5</v>
      </c>
      <c r="F2" s="41" t="s">
        <v>6</v>
      </c>
      <c r="G2" s="41" t="s">
        <v>7</v>
      </c>
      <c r="H2" s="41" t="s">
        <v>8</v>
      </c>
    </row>
    <row r="3" spans="1:18" ht="88.15" customHeight="1">
      <c r="A3" s="23" t="s">
        <v>9</v>
      </c>
      <c r="B3" s="23" t="s">
        <v>10</v>
      </c>
      <c r="C3" s="24" t="s">
        <v>11</v>
      </c>
      <c r="D3" s="24" t="s">
        <v>12</v>
      </c>
      <c r="E3" s="24" t="s">
        <v>13</v>
      </c>
      <c r="F3" s="25" t="s">
        <v>14</v>
      </c>
      <c r="G3" s="25" t="s">
        <v>15</v>
      </c>
      <c r="H3" s="23" t="s">
        <v>16</v>
      </c>
    </row>
    <row r="4" spans="1:18" ht="150">
      <c r="A4" s="23" t="s">
        <v>17</v>
      </c>
      <c r="B4" s="23" t="s">
        <v>18</v>
      </c>
      <c r="C4" s="24" t="s">
        <v>19</v>
      </c>
      <c r="D4" s="24" t="s">
        <v>20</v>
      </c>
      <c r="E4" s="24" t="s">
        <v>21</v>
      </c>
      <c r="F4" s="25" t="s">
        <v>14</v>
      </c>
      <c r="G4" s="25" t="s">
        <v>15</v>
      </c>
      <c r="H4" s="23" t="s">
        <v>22</v>
      </c>
    </row>
    <row r="5" spans="1:18" ht="135">
      <c r="A5" s="23" t="s">
        <v>23</v>
      </c>
      <c r="B5" s="23" t="s">
        <v>24</v>
      </c>
      <c r="C5" s="24" t="s">
        <v>25</v>
      </c>
      <c r="D5" s="24" t="s">
        <v>26</v>
      </c>
      <c r="E5" s="24" t="s">
        <v>27</v>
      </c>
      <c r="F5" s="25" t="s">
        <v>14</v>
      </c>
      <c r="G5" s="24" t="s">
        <v>28</v>
      </c>
      <c r="H5" s="23" t="s">
        <v>29</v>
      </c>
      <c r="R5" s="5" t="s">
        <v>30</v>
      </c>
    </row>
    <row r="6" spans="1:18" ht="90">
      <c r="A6" s="23" t="s">
        <v>31</v>
      </c>
      <c r="B6" s="23" t="s">
        <v>32</v>
      </c>
      <c r="C6" s="24" t="s">
        <v>33</v>
      </c>
      <c r="D6" s="24" t="s">
        <v>34</v>
      </c>
      <c r="E6" s="24" t="s">
        <v>35</v>
      </c>
      <c r="F6" s="25" t="s">
        <v>36</v>
      </c>
      <c r="G6" s="24" t="s">
        <v>37</v>
      </c>
      <c r="H6" s="23" t="s">
        <v>38</v>
      </c>
    </row>
    <row r="7" spans="1:18" ht="45">
      <c r="A7" s="23" t="s">
        <v>39</v>
      </c>
      <c r="B7" s="23" t="s">
        <v>40</v>
      </c>
      <c r="C7" s="24" t="s">
        <v>41</v>
      </c>
      <c r="D7" s="24" t="s">
        <v>42</v>
      </c>
      <c r="E7" s="24" t="s">
        <v>43</v>
      </c>
      <c r="F7" s="25" t="s">
        <v>44</v>
      </c>
      <c r="G7" s="25" t="s">
        <v>45</v>
      </c>
      <c r="H7" s="23" t="s">
        <v>38</v>
      </c>
    </row>
    <row r="8" spans="1:18" ht="150">
      <c r="A8" s="26" t="s">
        <v>46</v>
      </c>
      <c r="B8" s="26" t="s">
        <v>47</v>
      </c>
      <c r="C8" s="27" t="s">
        <v>48</v>
      </c>
      <c r="D8" s="27" t="s">
        <v>49</v>
      </c>
      <c r="E8" s="27" t="s">
        <v>50</v>
      </c>
      <c r="F8" s="28" t="s">
        <v>14</v>
      </c>
      <c r="G8" s="28" t="s">
        <v>15</v>
      </c>
      <c r="H8" s="26" t="s">
        <v>51</v>
      </c>
    </row>
    <row r="9" spans="1:18" ht="90" customHeight="1">
      <c r="A9" s="29" t="s">
        <v>52</v>
      </c>
      <c r="B9" s="29" t="s">
        <v>53</v>
      </c>
      <c r="C9" s="29" t="s">
        <v>54</v>
      </c>
      <c r="D9" s="29" t="s">
        <v>55</v>
      </c>
      <c r="E9" s="29" t="s">
        <v>56</v>
      </c>
      <c r="F9" s="29" t="s">
        <v>14</v>
      </c>
      <c r="G9" s="29" t="s">
        <v>57</v>
      </c>
      <c r="H9" s="29" t="s">
        <v>58</v>
      </c>
    </row>
    <row r="10" spans="1:18" ht="90" customHeight="1">
      <c r="A10" s="29" t="s">
        <v>59</v>
      </c>
      <c r="B10" s="29" t="s">
        <v>60</v>
      </c>
      <c r="C10" s="29" t="s">
        <v>61</v>
      </c>
      <c r="D10" s="29"/>
      <c r="E10" s="29"/>
      <c r="F10" s="29"/>
      <c r="G10" s="29"/>
      <c r="H10" s="29"/>
    </row>
    <row r="11" spans="1:18" ht="90" customHeight="1">
      <c r="A11" s="30" t="s">
        <v>62</v>
      </c>
      <c r="B11" s="30" t="s">
        <v>63</v>
      </c>
      <c r="C11" s="30" t="s">
        <v>64</v>
      </c>
      <c r="D11" s="30" t="s">
        <v>65</v>
      </c>
      <c r="E11" s="30" t="s">
        <v>66</v>
      </c>
      <c r="F11" s="30" t="s">
        <v>14</v>
      </c>
      <c r="G11" s="30" t="s">
        <v>15</v>
      </c>
      <c r="H11" s="30" t="s">
        <v>67</v>
      </c>
    </row>
    <row r="12" spans="1:18" ht="127.9" customHeight="1">
      <c r="A12" s="30" t="s">
        <v>68</v>
      </c>
      <c r="B12" s="30" t="s">
        <v>69</v>
      </c>
      <c r="C12" s="30" t="s">
        <v>70</v>
      </c>
      <c r="D12" s="30"/>
      <c r="E12" s="30"/>
      <c r="F12" s="30"/>
      <c r="G12" s="30" t="s">
        <v>71</v>
      </c>
      <c r="H12" s="30"/>
    </row>
    <row r="13" spans="1:18" ht="94.9" customHeight="1">
      <c r="A13" s="30" t="s">
        <v>72</v>
      </c>
      <c r="B13" s="30" t="s">
        <v>73</v>
      </c>
      <c r="C13" s="30" t="s">
        <v>74</v>
      </c>
      <c r="D13" s="30"/>
      <c r="E13" s="30"/>
      <c r="F13" s="30"/>
      <c r="G13" s="30"/>
      <c r="H13" s="30" t="s">
        <v>75</v>
      </c>
    </row>
    <row r="14" spans="1:18" ht="60">
      <c r="A14" s="30" t="s">
        <v>76</v>
      </c>
      <c r="B14" s="30" t="s">
        <v>77</v>
      </c>
      <c r="C14" s="30" t="s">
        <v>78</v>
      </c>
      <c r="D14" s="30"/>
      <c r="E14" s="30"/>
      <c r="F14" s="30"/>
      <c r="G14" s="30"/>
      <c r="H14" s="30"/>
    </row>
    <row r="15" spans="1:18" ht="127.9" customHeight="1">
      <c r="A15" s="31" t="s">
        <v>79</v>
      </c>
      <c r="B15" s="31" t="s">
        <v>80</v>
      </c>
      <c r="C15" s="31" t="s">
        <v>81</v>
      </c>
      <c r="D15" s="31"/>
      <c r="E15" s="31" t="s">
        <v>82</v>
      </c>
      <c r="F15" s="31" t="s">
        <v>14</v>
      </c>
      <c r="G15" s="31" t="s">
        <v>83</v>
      </c>
      <c r="H15" s="31" t="s">
        <v>84</v>
      </c>
    </row>
    <row r="16" spans="1:18" ht="127.9" customHeight="1">
      <c r="A16" s="31" t="s">
        <v>85</v>
      </c>
      <c r="B16" s="31" t="s">
        <v>86</v>
      </c>
      <c r="C16" s="31" t="s">
        <v>87</v>
      </c>
      <c r="D16" s="31"/>
      <c r="E16" s="31"/>
      <c r="F16" s="31"/>
      <c r="G16" s="31"/>
      <c r="H16" s="31"/>
    </row>
    <row r="17" spans="1:8" ht="127.9" customHeight="1">
      <c r="A17" s="32" t="s">
        <v>88</v>
      </c>
      <c r="B17" s="32" t="s">
        <v>89</v>
      </c>
      <c r="C17" s="32" t="s">
        <v>90</v>
      </c>
      <c r="D17" s="32"/>
      <c r="E17" s="32" t="s">
        <v>91</v>
      </c>
      <c r="F17" s="32" t="s">
        <v>14</v>
      </c>
      <c r="G17" s="32" t="s">
        <v>92</v>
      </c>
      <c r="H17" s="32" t="s">
        <v>93</v>
      </c>
    </row>
    <row r="18" spans="1:8" ht="127.9" customHeight="1">
      <c r="A18" s="32" t="s">
        <v>94</v>
      </c>
      <c r="B18" s="32" t="s">
        <v>95</v>
      </c>
      <c r="C18" s="32" t="s">
        <v>96</v>
      </c>
      <c r="D18" s="32" t="s">
        <v>97</v>
      </c>
      <c r="E18" s="32"/>
      <c r="F18" s="32"/>
      <c r="G18" s="32"/>
      <c r="H18" s="32"/>
    </row>
    <row r="19" spans="1:8" ht="45">
      <c r="A19" s="32" t="s">
        <v>98</v>
      </c>
      <c r="B19" s="32" t="s">
        <v>99</v>
      </c>
      <c r="C19" s="32" t="s">
        <v>100</v>
      </c>
      <c r="D19" s="32"/>
      <c r="E19" s="32"/>
      <c r="F19" s="32"/>
      <c r="G19" s="32"/>
      <c r="H19" s="32"/>
    </row>
    <row r="20" spans="1:8" ht="168" customHeight="1">
      <c r="A20" s="25" t="s">
        <v>101</v>
      </c>
      <c r="B20" s="23" t="s">
        <v>102</v>
      </c>
      <c r="C20" s="24" t="s">
        <v>103</v>
      </c>
      <c r="D20" s="24" t="s">
        <v>104</v>
      </c>
      <c r="E20" s="24"/>
      <c r="F20" s="25" t="s">
        <v>105</v>
      </c>
      <c r="G20" s="25"/>
      <c r="H20" s="23" t="s">
        <v>106</v>
      </c>
    </row>
    <row r="21" spans="1:8" ht="66.599999999999994" customHeight="1">
      <c r="A21" s="25" t="s">
        <v>107</v>
      </c>
      <c r="B21" s="23" t="s">
        <v>108</v>
      </c>
      <c r="C21" s="24" t="s">
        <v>109</v>
      </c>
      <c r="D21" s="24" t="s">
        <v>110</v>
      </c>
      <c r="E21" s="24"/>
      <c r="F21" s="25"/>
      <c r="G21" s="25"/>
      <c r="H21" s="25"/>
    </row>
    <row r="22" spans="1:8" ht="105">
      <c r="A22" s="33" t="s">
        <v>111</v>
      </c>
      <c r="B22" s="34" t="s">
        <v>112</v>
      </c>
      <c r="C22" s="34" t="s">
        <v>113</v>
      </c>
      <c r="D22" s="34" t="s">
        <v>34</v>
      </c>
      <c r="E22" s="34" t="s">
        <v>114</v>
      </c>
      <c r="F22" s="33"/>
      <c r="G22" s="33"/>
      <c r="H22" s="33"/>
    </row>
    <row r="23" spans="1:8" ht="45">
      <c r="A23" s="35" t="s">
        <v>115</v>
      </c>
      <c r="B23" s="36" t="s">
        <v>116</v>
      </c>
      <c r="C23" s="36" t="s">
        <v>117</v>
      </c>
      <c r="D23" s="35"/>
      <c r="E23" s="36" t="s">
        <v>118</v>
      </c>
      <c r="F23" s="35"/>
      <c r="G23" s="35"/>
      <c r="H23" s="35"/>
    </row>
    <row r="24" spans="1:8" ht="141.6" customHeight="1">
      <c r="A24" s="37" t="s">
        <v>119</v>
      </c>
      <c r="B24" s="37" t="s">
        <v>120</v>
      </c>
      <c r="C24" s="37" t="s">
        <v>121</v>
      </c>
      <c r="D24" s="38"/>
      <c r="E24" s="37" t="s">
        <v>122</v>
      </c>
      <c r="F24" s="38"/>
      <c r="G24" s="38"/>
      <c r="H24" s="37" t="s">
        <v>123</v>
      </c>
    </row>
    <row r="25" spans="1:8" ht="45">
      <c r="A25" s="38" t="s">
        <v>124</v>
      </c>
      <c r="B25" s="37" t="s">
        <v>125</v>
      </c>
      <c r="C25" s="38"/>
      <c r="D25" s="38"/>
      <c r="E25" s="37"/>
      <c r="F25" s="38"/>
      <c r="G25" s="38"/>
      <c r="H25" s="38"/>
    </row>
    <row r="26" spans="1:8" ht="45">
      <c r="A26" s="39" t="s">
        <v>126</v>
      </c>
      <c r="B26" s="40" t="s">
        <v>127</v>
      </c>
      <c r="C26" s="40" t="s">
        <v>128</v>
      </c>
      <c r="D26" s="39"/>
      <c r="E26" s="40"/>
      <c r="F26" s="39"/>
      <c r="G26" s="39"/>
      <c r="H26" s="39"/>
    </row>
    <row r="27" spans="1:8" ht="90">
      <c r="A27" s="39" t="s">
        <v>129</v>
      </c>
      <c r="B27" s="40" t="s">
        <v>130</v>
      </c>
      <c r="C27" s="40" t="s">
        <v>131</v>
      </c>
      <c r="D27" s="40" t="s">
        <v>132</v>
      </c>
      <c r="E27" s="40"/>
      <c r="F27" s="39"/>
      <c r="G27" s="39" t="s">
        <v>133</v>
      </c>
      <c r="H27" s="39"/>
    </row>
  </sheetData>
  <mergeCells count="1">
    <mergeCell ref="A1:H1"/>
  </mergeCells>
  <pageMargins left="0.70866141732283472" right="0.70866141732283472" top="0.74803149606299213" bottom="0.74803149606299213" header="0.31496062992125984" footer="0.31496062992125984"/>
  <pageSetup scale="1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17AAA-8F34-4737-AEEC-DB2142BCAA9E}">
  <dimension ref="A1"/>
  <sheetViews>
    <sheetView workbookViewId="0">
      <selection activeCell="Q22" sqref="Q22"/>
    </sheetView>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89326-31FF-4A18-A16B-51E28ABD793F}">
  <dimension ref="A1:C9"/>
  <sheetViews>
    <sheetView workbookViewId="0">
      <selection activeCell="C14" sqref="C14"/>
    </sheetView>
  </sheetViews>
  <sheetFormatPr defaultRowHeight="15"/>
  <cols>
    <col min="1" max="1" width="20.5703125" customWidth="1"/>
    <col min="2" max="2" width="17.140625" customWidth="1"/>
    <col min="3" max="3" width="43.85546875" customWidth="1"/>
  </cols>
  <sheetData>
    <row r="1" spans="1:3" ht="15.75">
      <c r="A1" s="15" t="s">
        <v>134</v>
      </c>
    </row>
    <row r="2" spans="1:3" ht="16.5" thickBot="1">
      <c r="A2" s="15" t="s">
        <v>135</v>
      </c>
    </row>
    <row r="3" spans="1:3" ht="15.75" thickBot="1">
      <c r="A3" s="16" t="s">
        <v>136</v>
      </c>
      <c r="B3" s="17" t="s">
        <v>137</v>
      </c>
      <c r="C3" s="17" t="s">
        <v>138</v>
      </c>
    </row>
    <row r="4" spans="1:3" ht="27.75" thickBot="1">
      <c r="A4" s="18" t="s">
        <v>139</v>
      </c>
      <c r="B4" s="19">
        <v>3200</v>
      </c>
      <c r="C4" s="20" t="s">
        <v>140</v>
      </c>
    </row>
    <row r="5" spans="1:3" ht="27.75" thickBot="1">
      <c r="A5" s="18" t="s">
        <v>141</v>
      </c>
      <c r="B5" s="19">
        <v>1100</v>
      </c>
      <c r="C5" s="20" t="s">
        <v>142</v>
      </c>
    </row>
    <row r="6" spans="1:3" ht="27.75" thickBot="1">
      <c r="A6" s="18" t="s">
        <v>143</v>
      </c>
      <c r="B6" s="19">
        <v>1400</v>
      </c>
      <c r="C6" s="20" t="s">
        <v>144</v>
      </c>
    </row>
    <row r="7" spans="1:3" ht="27.75" thickBot="1">
      <c r="A7" s="18" t="s">
        <v>145</v>
      </c>
      <c r="B7" s="19">
        <v>1200</v>
      </c>
      <c r="C7" s="20" t="s">
        <v>146</v>
      </c>
    </row>
    <row r="8" spans="1:3" ht="27.75" thickBot="1">
      <c r="A8" s="18" t="s">
        <v>147</v>
      </c>
      <c r="B8" s="19">
        <v>600</v>
      </c>
      <c r="C8" s="20" t="s">
        <v>148</v>
      </c>
    </row>
    <row r="9" spans="1:3">
      <c r="B9" s="21">
        <f>SUM(B4:B8)</f>
        <v>7500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0377C-9373-4C89-9243-5C3174C3F2C5}">
  <dimension ref="A1:H8"/>
  <sheetViews>
    <sheetView workbookViewId="0">
      <selection activeCell="D4" sqref="D4"/>
    </sheetView>
  </sheetViews>
  <sheetFormatPr defaultRowHeight="15"/>
  <cols>
    <col min="1" max="2" width="21.5703125" customWidth="1"/>
    <col min="3" max="3" width="23.5703125" customWidth="1"/>
    <col min="4" max="4" width="38.7109375" customWidth="1"/>
    <col min="5" max="5" width="43.85546875" customWidth="1"/>
    <col min="6" max="6" width="24.7109375" customWidth="1"/>
    <col min="7" max="7" width="22.7109375" customWidth="1"/>
    <col min="8" max="8" width="0" hidden="1" customWidth="1"/>
  </cols>
  <sheetData>
    <row r="1" spans="1:8">
      <c r="A1" s="45" t="s">
        <v>149</v>
      </c>
      <c r="B1" s="45"/>
      <c r="C1" s="45"/>
      <c r="D1" s="45"/>
      <c r="E1" s="45"/>
      <c r="F1" s="45"/>
      <c r="G1" s="45"/>
      <c r="H1" s="45"/>
    </row>
    <row r="2" spans="1:8">
      <c r="A2" s="6" t="s">
        <v>150</v>
      </c>
      <c r="B2" s="6" t="s">
        <v>151</v>
      </c>
      <c r="C2" s="6" t="s">
        <v>152</v>
      </c>
      <c r="D2" s="6" t="s">
        <v>153</v>
      </c>
      <c r="E2" s="6" t="s">
        <v>154</v>
      </c>
      <c r="F2" s="6" t="s">
        <v>155</v>
      </c>
      <c r="G2" s="6" t="s">
        <v>156</v>
      </c>
      <c r="H2" s="3"/>
    </row>
    <row r="3" spans="1:8" ht="60">
      <c r="A3" s="7" t="s">
        <v>157</v>
      </c>
      <c r="B3" s="7" t="s">
        <v>158</v>
      </c>
      <c r="C3" s="7" t="s">
        <v>159</v>
      </c>
      <c r="D3" s="8" t="s">
        <v>160</v>
      </c>
      <c r="E3" s="9" t="s">
        <v>161</v>
      </c>
      <c r="F3" s="10">
        <v>3500</v>
      </c>
      <c r="G3" s="11">
        <v>40000</v>
      </c>
    </row>
    <row r="4" spans="1:8" ht="105">
      <c r="A4" s="7" t="s">
        <v>107</v>
      </c>
      <c r="B4" s="8" t="s">
        <v>162</v>
      </c>
      <c r="C4" s="9" t="s">
        <v>163</v>
      </c>
      <c r="D4" s="8" t="s">
        <v>164</v>
      </c>
      <c r="E4" s="8" t="s">
        <v>165</v>
      </c>
      <c r="F4" s="10">
        <v>10500</v>
      </c>
      <c r="G4" s="11">
        <v>60000</v>
      </c>
    </row>
    <row r="5" spans="1:8" ht="60">
      <c r="A5" s="2" t="s">
        <v>166</v>
      </c>
      <c r="B5" s="2" t="s">
        <v>167</v>
      </c>
      <c r="C5" s="12" t="s">
        <v>168</v>
      </c>
      <c r="D5" s="1" t="s">
        <v>169</v>
      </c>
      <c r="E5" s="1" t="s">
        <v>170</v>
      </c>
      <c r="F5" s="13">
        <v>5087.5</v>
      </c>
      <c r="G5" s="11">
        <v>40000</v>
      </c>
    </row>
    <row r="6" spans="1:8" ht="45">
      <c r="A6" t="s">
        <v>166</v>
      </c>
      <c r="B6" s="12" t="s">
        <v>171</v>
      </c>
      <c r="C6" s="12" t="s">
        <v>172</v>
      </c>
      <c r="D6" s="2" t="s">
        <v>173</v>
      </c>
      <c r="E6" s="12" t="s">
        <v>174</v>
      </c>
      <c r="F6" s="13">
        <v>1000</v>
      </c>
      <c r="G6" s="11">
        <v>40000</v>
      </c>
    </row>
    <row r="7" spans="1:8" ht="45">
      <c r="A7" s="8" t="s">
        <v>107</v>
      </c>
      <c r="B7" s="1" t="s">
        <v>175</v>
      </c>
      <c r="C7" s="12" t="s">
        <v>176</v>
      </c>
      <c r="D7" s="2" t="s">
        <v>177</v>
      </c>
      <c r="E7" s="1" t="s">
        <v>178</v>
      </c>
      <c r="F7" s="13">
        <v>2000</v>
      </c>
      <c r="G7" s="11">
        <v>60000</v>
      </c>
    </row>
    <row r="8" spans="1:8">
      <c r="F8" s="14">
        <v>22087.5</v>
      </c>
    </row>
  </sheetData>
  <mergeCells count="1">
    <mergeCell ref="A1:H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90D57BF461ABF45ACE6B0A22C361231" ma:contentTypeVersion="3" ma:contentTypeDescription="Create a new document." ma:contentTypeScope="" ma:versionID="8e1ac0393db9950a60170e51620a9850">
  <xsd:schema xmlns:xsd="http://www.w3.org/2001/XMLSchema" xmlns:xs="http://www.w3.org/2001/XMLSchema" xmlns:p="http://schemas.microsoft.com/office/2006/metadata/properties" xmlns:ns2="f5ca5ff3-c40a-4f79-b81d-8bd077dc363f" targetNamespace="http://schemas.microsoft.com/office/2006/metadata/properties" ma:root="true" ma:fieldsID="b8aae751e5636c3c3f40fed528da3f3c" ns2:_="">
    <xsd:import namespace="f5ca5ff3-c40a-4f79-b81d-8bd077dc363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ca5ff3-c40a-4f79-b81d-8bd077dc36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0EBC62-E7D4-4A33-9922-CD9EAD008AD5}"/>
</file>

<file path=customXml/itemProps2.xml><?xml version="1.0" encoding="utf-8"?>
<ds:datastoreItem xmlns:ds="http://schemas.openxmlformats.org/officeDocument/2006/customXml" ds:itemID="{A685B3EE-23D0-42A3-B8D2-5E8679035600}"/>
</file>

<file path=customXml/itemProps3.xml><?xml version="1.0" encoding="utf-8"?>
<ds:datastoreItem xmlns:ds="http://schemas.openxmlformats.org/officeDocument/2006/customXml" ds:itemID="{C6F34C3E-D3CE-4739-A1C5-21B3A9DBA857}"/>
</file>

<file path=docProps/app.xml><?xml version="1.0" encoding="utf-8"?>
<Properties xmlns="http://schemas.openxmlformats.org/officeDocument/2006/extended-properties" xmlns:vt="http://schemas.openxmlformats.org/officeDocument/2006/docPropsVTypes">
  <Application>Microsoft Excel Online</Application>
  <Manager/>
  <Company>Australian Rugby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Green</dc:creator>
  <cp:keywords/>
  <dc:description/>
  <cp:lastModifiedBy>Shze Hn Tristan Su</cp:lastModifiedBy>
  <cp:revision/>
  <dcterms:created xsi:type="dcterms:W3CDTF">2026-01-23T03:49:26Z</dcterms:created>
  <dcterms:modified xsi:type="dcterms:W3CDTF">2026-09-22T04:46:00Z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0x010100390D57BF461ABF45ACE6B0A22C361231</vt:lpwstr>
  </property>
  <property fmtid="{D5CDD505-2E9C-101B-9397-08002B2CF9AE}" pid="3" name="Order">
    <vt:r8>227600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